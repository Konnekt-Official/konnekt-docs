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5" activeTab="8"/>
  </bookViews>
  <sheets>
    <sheet name="Introduction" sheetId="1" r:id="rId1"/>
    <sheet name="User Story Without Priority" sheetId="2" r:id="rId2"/>
    <sheet name="Agile User Story" sheetId="3" r:id="rId3"/>
    <sheet name="User Story Priority Hierarchy" sheetId="4" r:id="rId4"/>
    <sheet name="User Story Map Board" sheetId="5" r:id="rId5"/>
    <sheet name="Agile Release Plan" sheetId="6" r:id="rId6"/>
    <sheet name="Agile Sprint 1 Backlog" sheetId="7" r:id="rId7"/>
    <sheet name="Agile Sprint 2 Backlog" sheetId="8" r:id="rId8"/>
    <sheet name="Agile Sprint 3 Backlog" sheetId="9" r:id="rId9"/>
    <sheet name="Agile Sprint 4 Backlog" sheetId="10" r:id="rId10"/>
    <sheet name="Agile Sprint 5 Backlog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<sst xmlns="http://schemas.openxmlformats.org/spreadsheetml/2006/main" count="658" uniqueCount="291">
  <si>
    <t>LIST OF USER STORIES</t>
  </si>
  <si>
    <t>S.N.</t>
  </si>
  <si>
    <t>User Story</t>
  </si>
  <si>
    <t>Acceptance Criteria</t>
  </si>
  <si>
    <t>As a user, I want to send and receive
messages instantly so that I can
communicate in real time.</t>
  </si>
  <si>
    <t>• Messages appear instantly.
• Recipient receives without
refresh</t>
  </si>
  <si>
    <t>As a user, I want to see when
someone is typing or online so I
know their activity.</t>
  </si>
  <si>
    <t>• Shows "typing…" indicator.
• Online/offline status updates
in real-time.</t>
  </si>
  <si>
    <t>As a user, I want to see if my
message is read so I understand
communication status.</t>
  </si>
  <si>
    <t>• Shows delivered/read status.
• Ticks or indicator updates
instantly.</t>
  </si>
  <si>
    <t>As a user, I want to make audio calls
for smooth communication.</t>
  </si>
  <si>
    <t>• Start/end audio call.
• Low latency.
• Incoming call alert</t>
  </si>
  <si>
    <t>As a user, I want to make video calls
to see the person I’m talking to.</t>
  </si>
  <si>
    <t>• High-quality stream.
• Mute/unmute, switch
camera.</t>
  </si>
  <si>
    <t>As a user, I want to create posts with
text/media so I can share updates.</t>
  </si>
  <si>
    <t>• Uploads text/images/videos.
• Appears instantly</t>
  </si>
  <si>
    <t>As a user, I want to react to posts to
engage with others.</t>
  </si>
  <si>
    <t>• Like/unlike.
• Comment instantly.
• Share posts.</t>
  </si>
  <si>
    <t>As a user, I want a personalized
news feed so I see relevant content.</t>
  </si>
  <si>
    <t>• Shows followed users’
posts.
• Sorted by recency</t>
  </si>
  <si>
    <t>As a user, I want to register and log
in using a secure authentication
system.</t>
  </si>
  <si>
    <t>• Shows DP, bio, posts.
• Applies privacy settings</t>
  </si>
  <si>
    <t>As a user, I want to create my profile
with a display picture and bio.</t>
  </si>
  <si>
    <t>• Upload profile picture.
• Edit bio.
• Changes save instantly</t>
  </si>
  <si>
    <t>As a user, I want to view other
people’s profiles and posts.</t>
  </si>
  <si>
    <t>As a user, I want notifications for
likes, comments, and messages.</t>
  </si>
  <si>
    <t>• Instant notifications.
• Shows sender + action.
• Can mark as read.</t>
  </si>
  <si>
    <t>As a user, I want push notifications
even when offline.</t>
  </si>
  <si>
    <t>• Works when the app is
closed.
• Open the correct screen on
tap.</t>
  </si>
  <si>
    <t>As a user, I want to search users,
posts, and groups.</t>
  </si>
  <si>
    <t>• Live search results.
• Trending suggestions
appear.</t>
  </si>
  <si>
    <t>As a user, I want harmful content to
be filtered automatically</t>
  </si>
  <si>
    <t>• Java AI/NLP toxicity model
flags/blocks abusive words.</t>
  </si>
  <si>
    <t>As a user, I want to write posts
offline and auto-upload when online.</t>
  </si>
  <si>
    <t>• Instant uploads when back
online.</t>
  </si>
  <si>
    <t>AGILE USER STORY</t>
  </si>
  <si>
    <t>Feature ID</t>
  </si>
  <si>
    <t>Feature Name</t>
  </si>
  <si>
    <t>User Story ID</t>
  </si>
  <si>
    <t>Priority</t>
  </si>
  <si>
    <t>As a &lt;Type of user&gt;</t>
  </si>
  <si>
    <t>I need to &lt;perform some task&gt;</t>
  </si>
  <si>
    <t>So that I can &lt;achieve something&gt;</t>
  </si>
  <si>
    <t>F1</t>
  </si>
  <si>
    <t>Real-Time Messaging</t>
  </si>
  <si>
    <t>High</t>
  </si>
  <si>
    <t>User</t>
  </si>
  <si>
    <t>send and receive messages instantly</t>
  </si>
  <si>
    <t>communicate in real time</t>
  </si>
  <si>
    <t>Messages are delivered instantly without refresh; receiver receives messages immediately.</t>
  </si>
  <si>
    <t>F2</t>
  </si>
  <si>
    <t>Typing &amp; Online Status</t>
  </si>
  <si>
    <t>Low</t>
  </si>
  <si>
    <t>see typing and online status</t>
  </si>
  <si>
    <t>know other user activity</t>
  </si>
  <si>
    <t>Typing indicator is shown; online/offline status updates in real time.</t>
  </si>
  <si>
    <t>F3</t>
  </si>
  <si>
    <t>Message Read Receipts</t>
  </si>
  <si>
    <t>view message read status</t>
  </si>
  <si>
    <t>track communication status</t>
  </si>
  <si>
    <t>Delivered and read indicators are displayed instantly.</t>
  </si>
  <si>
    <t>F4</t>
  </si>
  <si>
    <t xml:space="preserve"> Audio Calls</t>
  </si>
  <si>
    <t>make audio calls</t>
  </si>
  <si>
    <t>communicate smoothly</t>
  </si>
  <si>
    <t>User can start and end calls; incoming call alert shown; low latency audio.</t>
  </si>
  <si>
    <t>F5</t>
  </si>
  <si>
    <t>Video Calls</t>
  </si>
  <si>
    <t>make video calls</t>
  </si>
  <si>
    <t>see the other user</t>
  </si>
  <si>
    <t>High-quality video; mute/unmute supported; camera switch available.</t>
  </si>
  <si>
    <t>F6</t>
  </si>
  <si>
    <t>Real-Time Notifications</t>
  </si>
  <si>
    <t>receive notifications</t>
  </si>
  <si>
    <t xml:space="preserve">/ </t>
  </si>
  <si>
    <t xml:space="preserve">Notifications appear instantly; sender and action displayed; can mark as read.
</t>
  </si>
  <si>
    <t>F7</t>
  </si>
  <si>
    <t>Social Posting</t>
  </si>
  <si>
    <t>Medium</t>
  </si>
  <si>
    <t>create posts with text or media</t>
  </si>
  <si>
    <t>share updates</t>
  </si>
  <si>
    <t>Upload text/images/videos; post appears instantly in feed.</t>
  </si>
  <si>
    <t>F8</t>
  </si>
  <si>
    <t>Likes, Comments &amp; Shares</t>
  </si>
  <si>
    <t>like, comment, and share posts</t>
  </si>
  <si>
    <t>interact with others</t>
  </si>
  <si>
    <t>Like/unlike works; comments appear instantly; posts can be shared.</t>
  </si>
  <si>
    <t>F9</t>
  </si>
  <si>
    <t>Personalized Feed</t>
  </si>
  <si>
    <t>view other user profiles</t>
  </si>
  <si>
    <t>see relevant content</t>
  </si>
  <si>
    <t>Shows followed users’ posts; sorted by recency.</t>
  </si>
  <si>
    <t>F10</t>
  </si>
  <si>
    <t>User Profile Setup</t>
  </si>
  <si>
    <t>register and login securely</t>
  </si>
  <si>
    <t>protect my account</t>
  </si>
  <si>
    <t>Spring Security login; password hashing; JWT/session supported.</t>
  </si>
  <si>
    <t>F11</t>
  </si>
  <si>
    <t>View Other Profiles</t>
  </si>
  <si>
    <t>Medim</t>
  </si>
  <si>
    <t>create and update profile</t>
  </si>
  <si>
    <t>present my information</t>
  </si>
  <si>
    <t>Upload profile picture; edit bio; changes saved instantly.</t>
  </si>
  <si>
    <t>F12</t>
  </si>
  <si>
    <t>see their details and posts</t>
  </si>
  <si>
    <t>Shows profile picture and bio; privacy settings applied.</t>
  </si>
  <si>
    <t xml:space="preserve"> </t>
  </si>
  <si>
    <t>F13</t>
  </si>
  <si>
    <t>Push Notifications</t>
  </si>
  <si>
    <t>receive notifications when offline</t>
  </si>
  <si>
    <t>not miss updates</t>
  </si>
  <si>
    <t>Notifications work when app is closed; correct screen opens on tap.</t>
  </si>
  <si>
    <t>F14</t>
  </si>
  <si>
    <t>Search &amp; Discovery</t>
  </si>
  <si>
    <t>search users and posts</t>
  </si>
  <si>
    <t>discover content</t>
  </si>
  <si>
    <t>Live search results displayed; trending suggestions shown.</t>
  </si>
  <si>
    <t>F15</t>
  </si>
  <si>
    <t>Toxicity Filter</t>
  </si>
  <si>
    <t>filter harmful content</t>
  </si>
  <si>
    <t>keep platform safe</t>
  </si>
  <si>
    <t>Toxic words detected using AI/NLP; abusive content blocked.</t>
  </si>
  <si>
    <t>F16</t>
  </si>
  <si>
    <t>Offline Draft Posts</t>
  </si>
  <si>
    <t>write posts offline</t>
  </si>
  <si>
    <t>upload later</t>
  </si>
  <si>
    <t>Posts saved offline; auto-upload when internet is restored.</t>
  </si>
  <si>
    <t>see read time</t>
  </si>
  <si>
    <t>track response delay</t>
  </si>
  <si>
    <t>•        Access and go through the book available in the system either by exploring the list or by searching it directly.
•        Display a 'Share' button next to the 'Add to Favourites' button.
•        Click the button to access the modal with hyperlink of the book.
•        Copy the hyperlink and share it in other social medias.</t>
  </si>
  <si>
    <t>AGILE USER STORY - HIERARCHY</t>
  </si>
  <si>
    <t>User Story Id</t>
  </si>
  <si>
    <t>• Messages appear instantly
• Recipient receives without refresh</t>
  </si>
  <si>
    <t>communicate smoothly through voice</t>
  </si>
  <si>
    <t>• Audio call can start/end
• Low latency
• Incoming call alert</t>
  </si>
  <si>
    <t>see the person I am talking to</t>
  </si>
  <si>
    <t>• High-quality video stream
• Mute/unmute available
• Camera switch supported</t>
  </si>
  <si>
    <t>• Upload text/images/videos
• Appears instantly</t>
  </si>
  <si>
    <t>register and log in securely</t>
  </si>
  <si>
    <t>access the system safely</t>
  </si>
  <si>
    <t>• Spring Security authentication
• Password hashed
• Session/JWT supported</t>
  </si>
  <si>
    <t>not miss likes, comments, or messages</t>
  </si>
  <si>
    <t>• Instant notifications
• Shows sender and action</t>
  </si>
  <si>
    <t>have harmful content filtered</t>
  </si>
  <si>
    <t>use a safe platform</t>
  </si>
  <si>
    <t>• Java AI/NLP detects toxic words
• Abusive content blocked</t>
  </si>
  <si>
    <t>not lose content</t>
  </si>
  <si>
    <t>• Draft saved offline
• Auto-upload when online</t>
  </si>
  <si>
    <t>know other users’ activity</t>
  </si>
  <si>
    <t>• Typing indicator shown
• Online/offline updates in real time</t>
  </si>
  <si>
    <t>see message read receipts</t>
  </si>
  <si>
    <t>understand communication status</t>
  </si>
  <si>
    <t>• Delivered/read indicators update instantly</t>
  </si>
  <si>
    <t>engage with others</t>
  </si>
  <si>
    <t>• Like/unlike supported
• Comments appear instantly
• Posts can be shared</t>
  </si>
  <si>
    <t>view a personalized feed</t>
  </si>
  <si>
    <t>• Shows followed users’ posts
• Sorted by recency</t>
  </si>
  <si>
    <t>set up my profile with photo and bio</t>
  </si>
  <si>
    <t>personalize my profile</t>
  </si>
  <si>
    <t>• Upload profile picture
• Edit bio
• Changes saved instantly</t>
  </si>
  <si>
    <t>view other users’ profiles</t>
  </si>
  <si>
    <t>see their information and posts</t>
  </si>
  <si>
    <t>• Displays profile picture, bio, posts
• Privacy applied</t>
  </si>
  <si>
    <t>search users, posts, and groups</t>
  </si>
  <si>
    <t>find content easily</t>
  </si>
  <si>
    <t>• Live search results
• Trending suggestions</t>
  </si>
  <si>
    <t>receive push notifications when offline</t>
  </si>
  <si>
    <t>stay informed outside the app</t>
  </si>
  <si>
    <t>• Works when app is closed
• Opens correct screen</t>
  </si>
  <si>
    <t>Legend : US - User Story</t>
  </si>
  <si>
    <r>
      <rPr>
        <sz val="14"/>
        <color theme="1"/>
        <rFont val="Century Gothic"/>
        <charset val="134"/>
      </rPr>
      <t xml:space="preserve">The </t>
    </r>
    <r>
      <rPr>
        <b/>
        <sz val="14"/>
        <color theme="1"/>
        <rFont val="Century gothic"/>
        <charset val="134"/>
      </rPr>
      <t>Backbone</t>
    </r>
  </si>
  <si>
    <t>Epic 1</t>
  </si>
  <si>
    <t>Epic 2</t>
  </si>
  <si>
    <t>Epic 3</t>
  </si>
  <si>
    <t>Epic 4</t>
  </si>
  <si>
    <r>
      <rPr>
        <b/>
        <sz val="14"/>
        <color theme="1"/>
        <rFont val="Century gothic"/>
        <charset val="134"/>
      </rPr>
      <t>Flesh</t>
    </r>
    <r>
      <rPr>
        <sz val="14"/>
        <color theme="1"/>
        <rFont val="Century Gothic"/>
        <charset val="134"/>
      </rPr>
      <t xml:space="preserve"> on the backbone</t>
    </r>
  </si>
  <si>
    <t>User Account &amp; Profile</t>
  </si>
  <si>
    <t>Communication</t>
  </si>
  <si>
    <t>Social Interaction</t>
  </si>
  <si>
    <t>System &amp; Administration</t>
  </si>
  <si>
    <t>Sprint / Iteration 1 (07/12/2025 – 13/12/2025)</t>
  </si>
  <si>
    <t>US 10- User profile and setup</t>
  </si>
  <si>
    <t>SEQUENCE</t>
  </si>
  <si>
    <t>US 8 - Personalized Feed</t>
  </si>
  <si>
    <t>Version 1.0</t>
  </si>
  <si>
    <t>US 7 - Like / Comment / Share</t>
  </si>
  <si>
    <t>US 11 - Profile Viewing</t>
  </si>
  <si>
    <t>Sprint / Iteration 2 (14/12/2025 – 20/12/2025)</t>
  </si>
  <si>
    <t>US 1 – Real-time Messaging</t>
  </si>
  <si>
    <t>Version 2.0</t>
  </si>
  <si>
    <t>US 9 - Video and Audio call</t>
  </si>
  <si>
    <t>US 15 - Followers&amp;Social Posting</t>
  </si>
  <si>
    <t>US 2,3- Inbox online status and receipts</t>
  </si>
  <si>
    <t>Sprint / Iteration 3 (21/12/2025 – 27/12/2025)</t>
  </si>
  <si>
    <t>US 12 – Settings &amp; Push Notifications</t>
  </si>
  <si>
    <t>US 13 – Real-Time Notifications</t>
  </si>
  <si>
    <t>US 9 – Password &amp; Authentication</t>
  </si>
  <si>
    <t>Sprint / Iteration 4 (28/12/2025 – 03/01/2026)</t>
  </si>
  <si>
    <t>US 15 – Admin Panel</t>
  </si>
  <si>
    <t>Version 4.0</t>
  </si>
  <si>
    <t>US 14 – Search &amp; Discovery</t>
  </si>
  <si>
    <t>US 16 – Membership Handling</t>
  </si>
  <si>
    <t>AGILE RELEASE PLAN</t>
  </si>
  <si>
    <t>AT RISK</t>
  </si>
  <si>
    <t>SPRINT</t>
  </si>
  <si>
    <t>USER STORY NAME</t>
  </si>
  <si>
    <t>FEATURE TYPE</t>
  </si>
  <si>
    <t>START</t>
  </si>
  <si>
    <t>FINISH</t>
  </si>
  <si>
    <t>DURATION (In Hours)</t>
  </si>
  <si>
    <t>STORY POINTS</t>
  </si>
  <si>
    <t>STATUS</t>
  </si>
  <si>
    <t>RELEASE DATE</t>
  </si>
  <si>
    <t>User Story 10 – User Profile  setup</t>
  </si>
  <si>
    <t xml:space="preserve">Functionality </t>
  </si>
  <si>
    <t>Planned</t>
  </si>
  <si>
    <t>User Story 8 – Personalized Feed</t>
  </si>
  <si>
    <t>User Story 7 – Like / Comment / Share</t>
  </si>
  <si>
    <t>User Story 11 – Profile Viewing</t>
  </si>
  <si>
    <t>13/12/2025</t>
  </si>
  <si>
    <t>User Story 1 – Real-time Messaging</t>
  </si>
  <si>
    <t>14/12/2025</t>
  </si>
  <si>
    <t>User Story 4 &amp; 5 – Video / Audio Call</t>
  </si>
  <si>
    <t>15/12/2025</t>
  </si>
  <si>
    <t>User Story 6 – Followers &amp; Social Posting</t>
  </si>
  <si>
    <t>16/12/2025</t>
  </si>
  <si>
    <t>User Story 2 &amp; 3 – Inbox (Online Status &amp; Read Receipts</t>
  </si>
  <si>
    <t>17/12/2025</t>
  </si>
  <si>
    <t>20/12/2025</t>
  </si>
  <si>
    <t>User Story 12-Settings &amp; Push Notification</t>
  </si>
  <si>
    <t>21/12/2025</t>
  </si>
  <si>
    <t>22/12/2025</t>
  </si>
  <si>
    <t>User Story 9-Password &amp; Authentication</t>
  </si>
  <si>
    <t>23/12/2025</t>
  </si>
  <si>
    <t>24/12/2025</t>
  </si>
  <si>
    <t>User Story 13-Real-Time Notifications</t>
  </si>
  <si>
    <t>25/12/2025</t>
  </si>
  <si>
    <t>27/12/2025</t>
  </si>
  <si>
    <t>User Story 15-Admin Panel</t>
  </si>
  <si>
    <t>28/12/2025</t>
  </si>
  <si>
    <t>User Story 14-Search &amp; Discovery</t>
  </si>
  <si>
    <t>29/12/2025</t>
  </si>
  <si>
    <t>User Story 13-Membership Handling</t>
  </si>
  <si>
    <t>30/12/2025</t>
  </si>
  <si>
    <t>AGILE SPRINT 1 BACKLOG</t>
  </si>
  <si>
    <t>BACKLOG TASK &amp; ID</t>
  </si>
  <si>
    <t xml:space="preserve">ASSIGNED TO </t>
  </si>
  <si>
    <t>ORIGINAL ESTIMATE (In Hours)</t>
  </si>
  <si>
    <t>DAY 1</t>
  </si>
  <si>
    <t>DAY 2</t>
  </si>
  <si>
    <t>DAY 3</t>
  </si>
  <si>
    <t>DAY 4</t>
  </si>
  <si>
    <t>DAY 5</t>
  </si>
  <si>
    <t>SPRINT REVIEW</t>
  </si>
  <si>
    <t>User Story #10 : User Profile Setup</t>
  </si>
  <si>
    <t>Frontend</t>
  </si>
  <si>
    <t>Biraj Sharma</t>
  </si>
  <si>
    <t>Done</t>
  </si>
  <si>
    <t>Backend</t>
  </si>
  <si>
    <t>Database</t>
  </si>
  <si>
    <t xml:space="preserve">Testing </t>
  </si>
  <si>
    <t>Biraj Sharma &amp; Team</t>
  </si>
  <si>
    <t>Validation</t>
  </si>
  <si>
    <t>User Story #8 : Personalized Feed</t>
  </si>
  <si>
    <t>Samjhana Dahal</t>
  </si>
  <si>
    <t>Testing</t>
  </si>
  <si>
    <t>Samjhana Dahal &amp; Team</t>
  </si>
  <si>
    <t>User Story #7 : Like/Comment/Share</t>
  </si>
  <si>
    <t>Rajesh Thapa</t>
  </si>
  <si>
    <t>Rajesh Thapa &amp; Team</t>
  </si>
  <si>
    <t>User Story #11 : Profile Viewing</t>
  </si>
  <si>
    <t>Anish Gautam</t>
  </si>
  <si>
    <t>Anish Gautam &amp; Team</t>
  </si>
  <si>
    <t>TOTAL</t>
  </si>
  <si>
    <t>IDEAL</t>
  </si>
  <si>
    <t xml:space="preserve">AGILE SPRINT 2 BACKLOG																								</t>
  </si>
  <si>
    <t>User Story #1 : Real-time Messaging</t>
  </si>
  <si>
    <t>User Story #4&amp;5 : Video/Audio call</t>
  </si>
  <si>
    <t>User Story #6 : Followers &amp; Social Posting</t>
  </si>
  <si>
    <t>User Story #2 &amp;3 : Inbox( Online Status &amp; Read Receipts)</t>
  </si>
  <si>
    <t>AGILE SPRINT 3 BACKLOG</t>
  </si>
  <si>
    <t>User Story #13 : Settings &amp;  Push notification</t>
  </si>
  <si>
    <t>Anish Gautam &amp; Samjhana Dahal</t>
  </si>
  <si>
    <t>User Story #9: Password and Password Authentication</t>
  </si>
  <si>
    <t>Sulav Karki</t>
  </si>
  <si>
    <t>User Story #12 : Real-Time Notifications</t>
  </si>
  <si>
    <t>AGILE SPRINT 4 BACKLOG</t>
  </si>
  <si>
    <t>User Story #15 : Admin Panel</t>
  </si>
  <si>
    <t>Samjhana dahal</t>
  </si>
  <si>
    <t>User Story #14 : Search &amp; Discovery</t>
  </si>
  <si>
    <t>User Story #Membership Handeling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</si>
</sst>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</numFmts>
  <fonts count="47">
    <font>
      <sz val="11"/>
      <color theme="1"/>
      <name val="Arial"/>
      <charset val="134"/>
      <scheme val="minor"/>
    </font>
    <font>
      <b/>
      <sz val="18"/>
      <color rgb="FF666666"/>
      <name val="Century Gothic"/>
      <charset val="134"/>
    </font>
    <font>
      <sz val="11"/>
      <color rgb="FFFFFFFF"/>
      <name val="Century Gothic"/>
      <charset val="134"/>
    </font>
    <font>
      <b/>
      <sz val="10"/>
      <color theme="1"/>
      <name val="Century Gothic"/>
      <charset val="134"/>
    </font>
    <font>
      <sz val="11"/>
      <color theme="1"/>
      <name val="Calibri"/>
      <charset val="134"/>
    </font>
    <font>
      <sz val="10"/>
      <color theme="1"/>
      <name val="Century Gothic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0"/>
      <color rgb="FFFFFFFF"/>
      <name val="Century Gothic"/>
      <charset val="134"/>
    </font>
    <font>
      <sz val="11"/>
      <color rgb="FFFFFFFF"/>
      <name val="Calibri"/>
      <charset val="134"/>
    </font>
    <font>
      <sz val="11"/>
      <color rgb="FFFFFFFF"/>
      <name val="Arial"/>
      <charset val="134"/>
    </font>
    <font>
      <b/>
      <sz val="11"/>
      <color theme="1"/>
      <name val="Calibri"/>
      <charset val="134"/>
    </font>
    <font>
      <b/>
      <sz val="24"/>
      <color rgb="FF666666"/>
      <name val="Century Gothic"/>
      <charset val="134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b/>
      <sz val="14"/>
      <color theme="1"/>
      <name val="Century Gothic"/>
      <charset val="134"/>
    </font>
    <font>
      <b/>
      <sz val="18"/>
      <color rgb="FFFFFFFF"/>
      <name val="Century Gothic"/>
      <charset val="134"/>
    </font>
    <font>
      <sz val="11"/>
      <name val="Arial"/>
      <charset val="134"/>
      <scheme val="minor"/>
    </font>
    <font>
      <b/>
      <sz val="11"/>
      <color rgb="FFFFFFFF"/>
      <name val="Century Gothic"/>
      <charset val="134"/>
    </font>
    <font>
      <u/>
      <sz val="11"/>
      <color theme="1"/>
      <name val="Century Gothic"/>
      <charset val="134"/>
    </font>
    <font>
      <sz val="11"/>
      <color rgb="FF000000"/>
      <name val="Arial"/>
      <charset val="134"/>
    </font>
    <font>
      <sz val="11"/>
      <color rgb="FF000000"/>
      <name val="Century Gothic"/>
      <charset val="134"/>
    </font>
    <font>
      <sz val="11"/>
      <color rgb="FF000000"/>
      <name val="Calibri"/>
      <charset val="134"/>
    </font>
    <font>
      <b/>
      <sz val="24"/>
      <color rgb="FF666666"/>
      <name val="Arial"/>
      <charset val="134"/>
    </font>
    <font>
      <b/>
      <sz val="11"/>
      <color rgb="FFFFFFFF"/>
      <name val="Arial"/>
      <charset val="134"/>
    </font>
    <font>
      <b/>
      <sz val="18"/>
      <color rgb="FFFFFFFF"/>
      <name val="Calibri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4"/>
      <color theme="1"/>
      <name val="Century Gothic"/>
      <charset val="134"/>
    </font>
    <font>
      <b/>
      <sz val="14"/>
      <color theme="1"/>
      <name val="Century gothic"/>
      <charset val="134"/>
    </font>
  </fonts>
  <fills count="6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  <fill>
      <patternFill patternType="solid">
        <fgColor rgb="FF1155CC"/>
        <bgColor rgb="FF1155CC"/>
      </patternFill>
    </fill>
    <fill>
      <patternFill patternType="solid">
        <fgColor rgb="FFE69138"/>
        <bgColor rgb="FFE69138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theme="0"/>
        <bgColor indexed="64"/>
      </patternFill>
    </fill>
    <fill>
      <patternFill patternType="solid">
        <fgColor rgb="FFA4C2F4"/>
        <bgColor rgb="FFA4C2F4"/>
      </patternFill>
    </fill>
    <fill>
      <patternFill patternType="solid">
        <fgColor rgb="FF0B5394"/>
        <bgColor rgb="FF0B5394"/>
      </patternFill>
    </fill>
    <fill>
      <patternFill patternType="solid">
        <fgColor theme="0"/>
        <bgColor rgb="FF0B5394"/>
      </patternFill>
    </fill>
    <fill>
      <patternFill patternType="solid">
        <fgColor theme="0"/>
        <bgColor rgb="FFFFFF00"/>
      </patternFill>
    </fill>
    <fill>
      <patternFill patternType="solid">
        <fgColor rgb="FF741B47"/>
        <bgColor rgb="FF741B47"/>
      </patternFill>
    </fill>
    <fill>
      <patternFill patternType="solid">
        <fgColor rgb="FF6AA84F"/>
        <bgColor rgb="FF6AA84F"/>
      </patternFill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B7B7B7"/>
      </right>
      <top/>
      <bottom/>
      <diagonal/>
    </border>
    <border>
      <left style="double">
        <color rgb="FFFFFFFF"/>
      </left>
      <right style="double">
        <color rgb="FFFFFFFF"/>
      </right>
      <top style="double">
        <color rgb="FFFFFFFF"/>
      </top>
      <bottom style="double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34" borderId="14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35" borderId="17" applyNumberFormat="0" applyAlignment="0" applyProtection="0">
      <alignment vertical="center"/>
    </xf>
    <xf numFmtId="0" fontId="35" fillId="36" borderId="18" applyNumberFormat="0" applyAlignment="0" applyProtection="0">
      <alignment vertical="center"/>
    </xf>
    <xf numFmtId="0" fontId="36" fillId="36" borderId="17" applyNumberFormat="0" applyAlignment="0" applyProtection="0">
      <alignment vertical="center"/>
    </xf>
    <xf numFmtId="0" fontId="37" fillId="37" borderId="19" applyNumberFormat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3" fillId="64" borderId="0" applyNumberFormat="0" applyBorder="0" applyAlignment="0" applyProtection="0">
      <alignment vertical="center"/>
    </xf>
  </cellStyleXfs>
  <cellXfs count="151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5" fillId="4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0" fontId="5" fillId="5" borderId="0" xfId="0" applyFont="1" applyFill="1" applyBorder="1" applyAlignment="1">
      <alignment vertical="center"/>
    </xf>
    <xf numFmtId="0" fontId="6" fillId="5" borderId="0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 wrapText="1"/>
    </xf>
    <xf numFmtId="0" fontId="6" fillId="0" borderId="0" xfId="0" applyFont="1"/>
    <xf numFmtId="0" fontId="7" fillId="3" borderId="0" xfId="0" applyFont="1" applyFill="1" applyBorder="1" applyAlignment="1">
      <alignment vertical="center"/>
    </xf>
    <xf numFmtId="0" fontId="4" fillId="0" borderId="0" xfId="0" applyFont="1"/>
    <xf numFmtId="0" fontId="8" fillId="6" borderId="0" xfId="0" applyFont="1" applyFill="1" applyBorder="1" applyAlignment="1">
      <alignment vertical="center"/>
    </xf>
    <xf numFmtId="0" fontId="9" fillId="6" borderId="0" xfId="0" applyFont="1" applyFill="1" applyBorder="1"/>
    <xf numFmtId="0" fontId="10" fillId="6" borderId="0" xfId="0" applyFont="1" applyFill="1" applyBorder="1" applyAlignment="1">
      <alignment vertical="center"/>
    </xf>
    <xf numFmtId="0" fontId="9" fillId="6" borderId="0" xfId="0" applyFont="1" applyFill="1" applyBorder="1" applyAlignment="1">
      <alignment vertical="center"/>
    </xf>
    <xf numFmtId="0" fontId="9" fillId="7" borderId="0" xfId="0" applyFont="1" applyFill="1" applyBorder="1"/>
    <xf numFmtId="0" fontId="4" fillId="8" borderId="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8" borderId="0" xfId="0" applyFont="1" applyFill="1" applyBorder="1"/>
    <xf numFmtId="0" fontId="10" fillId="7" borderId="0" xfId="0" applyFont="1" applyFill="1" applyBorder="1"/>
    <xf numFmtId="0" fontId="4" fillId="9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5" fillId="5" borderId="0" xfId="0" applyFont="1" applyFill="1" applyBorder="1" applyAlignment="1">
      <alignment vertical="center" wrapText="1"/>
    </xf>
    <xf numFmtId="0" fontId="11" fillId="3" borderId="0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4" fillId="8" borderId="1" xfId="0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horizontal="right" wrapText="1"/>
    </xf>
    <xf numFmtId="0" fontId="1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78" fontId="6" fillId="0" borderId="0" xfId="0" applyNumberFormat="1" applyFont="1" applyAlignment="1">
      <alignment horizontal="left" vertical="center"/>
    </xf>
    <xf numFmtId="58" fontId="1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178" fontId="13" fillId="0" borderId="0" xfId="0" applyNumberFormat="1" applyFont="1" applyAlignment="1">
      <alignment horizontal="left" vertical="center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4" borderId="0" xfId="0" applyFont="1" applyFill="1" applyBorder="1" applyAlignment="1">
      <alignment vertical="center"/>
    </xf>
    <xf numFmtId="0" fontId="17" fillId="0" borderId="0" xfId="0" applyFont="1" applyBorder="1"/>
    <xf numFmtId="0" fontId="17" fillId="0" borderId="6" xfId="0" applyFont="1" applyBorder="1"/>
    <xf numFmtId="0" fontId="13" fillId="10" borderId="0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vertical="center"/>
    </xf>
    <xf numFmtId="0" fontId="18" fillId="11" borderId="7" xfId="0" applyFont="1" applyFill="1" applyBorder="1" applyAlignment="1">
      <alignment horizontal="center" vertical="center"/>
    </xf>
    <xf numFmtId="0" fontId="18" fillId="11" borderId="8" xfId="0" applyFont="1" applyFill="1" applyBorder="1" applyAlignment="1">
      <alignment horizontal="center" vertical="center"/>
    </xf>
    <xf numFmtId="0" fontId="13" fillId="12" borderId="0" xfId="0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10" fillId="14" borderId="0" xfId="0" applyFont="1" applyFill="1" applyBorder="1" applyAlignment="1">
      <alignment vertical="center"/>
    </xf>
    <xf numFmtId="0" fontId="2" fillId="0" borderId="0" xfId="0" applyFont="1"/>
    <xf numFmtId="0" fontId="13" fillId="15" borderId="0" xfId="0" applyFont="1" applyFill="1" applyBorder="1" applyAlignment="1">
      <alignment vertical="center"/>
    </xf>
    <xf numFmtId="0" fontId="2" fillId="14" borderId="0" xfId="0" applyFont="1" applyFill="1" applyBorder="1" applyAlignment="1">
      <alignment vertical="center"/>
    </xf>
    <xf numFmtId="0" fontId="13" fillId="16" borderId="0" xfId="0" applyFont="1" applyFill="1" applyBorder="1" applyAlignment="1">
      <alignment vertical="center"/>
    </xf>
    <xf numFmtId="0" fontId="19" fillId="17" borderId="0" xfId="0" applyFont="1" applyFill="1" applyBorder="1"/>
    <xf numFmtId="0" fontId="13" fillId="17" borderId="0" xfId="0" applyFont="1" applyFill="1" applyBorder="1"/>
    <xf numFmtId="0" fontId="10" fillId="14" borderId="0" xfId="0" applyFont="1" applyFill="1" applyBorder="1" applyAlignment="1">
      <alignment vertical="center" wrapText="1"/>
    </xf>
    <xf numFmtId="0" fontId="20" fillId="18" borderId="0" xfId="0" applyFont="1" applyFill="1" applyBorder="1" applyAlignment="1">
      <alignment vertical="center" wrapText="1"/>
    </xf>
    <xf numFmtId="0" fontId="10" fillId="19" borderId="0" xfId="0" applyFont="1" applyFill="1" applyBorder="1" applyAlignment="1">
      <alignment horizontal="left" vertical="center"/>
    </xf>
    <xf numFmtId="0" fontId="10" fillId="13" borderId="9" xfId="0" applyFont="1" applyFill="1" applyBorder="1" applyAlignment="1">
      <alignment horizontal="center" vertical="center" wrapText="1"/>
    </xf>
    <xf numFmtId="0" fontId="0" fillId="20" borderId="0" xfId="0" applyFont="1" applyFill="1" applyAlignment="1"/>
    <xf numFmtId="0" fontId="18" fillId="2" borderId="1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21" fillId="21" borderId="0" xfId="0" applyFont="1" applyFill="1" applyBorder="1" applyAlignment="1">
      <alignment horizontal="center" vertical="center"/>
    </xf>
    <xf numFmtId="0" fontId="21" fillId="14" borderId="0" xfId="0" applyFont="1" applyFill="1" applyBorder="1" applyAlignment="1">
      <alignment horizontal="center" vertical="center"/>
    </xf>
    <xf numFmtId="0" fontId="20" fillId="21" borderId="0" xfId="0" applyFont="1" applyFill="1" applyBorder="1" applyAlignment="1">
      <alignment horizontal="left" vertical="center" wrapText="1"/>
    </xf>
    <xf numFmtId="0" fontId="20" fillId="21" borderId="0" xfId="0" applyFont="1" applyFill="1" applyBorder="1" applyAlignment="1">
      <alignment horizontal="center" vertical="center" wrapText="1"/>
    </xf>
    <xf numFmtId="0" fontId="6" fillId="21" borderId="11" xfId="0" applyFont="1" applyFill="1" applyBorder="1" applyAlignment="1">
      <alignment horizontal="left" vertical="center" wrapText="1"/>
    </xf>
    <xf numFmtId="0" fontId="22" fillId="4" borderId="0" xfId="0" applyFont="1" applyFill="1" applyBorder="1"/>
    <xf numFmtId="0" fontId="21" fillId="21" borderId="0" xfId="0" applyFont="1" applyFill="1" applyBorder="1" applyAlignment="1">
      <alignment horizontal="left" vertical="center" wrapText="1"/>
    </xf>
    <xf numFmtId="0" fontId="21" fillId="21" borderId="0" xfId="0" applyFont="1" applyFill="1" applyBorder="1" applyAlignment="1">
      <alignment horizontal="center" vertical="center" wrapText="1"/>
    </xf>
    <xf numFmtId="0" fontId="20" fillId="21" borderId="0" xfId="0" applyFont="1" applyFill="1" applyBorder="1" applyAlignment="1">
      <alignment horizontal="center" vertical="center"/>
    </xf>
    <xf numFmtId="0" fontId="4" fillId="4" borderId="0" xfId="0" applyFont="1" applyFill="1" applyBorder="1"/>
    <xf numFmtId="0" fontId="13" fillId="0" borderId="0" xfId="0" applyFont="1" applyAlignment="1">
      <alignment horizontal="center" vertical="center"/>
    </xf>
    <xf numFmtId="0" fontId="2" fillId="22" borderId="0" xfId="0" applyFont="1" applyFill="1" applyBorder="1" applyAlignment="1">
      <alignment horizontal="center" vertical="center"/>
    </xf>
    <xf numFmtId="0" fontId="10" fillId="22" borderId="0" xfId="0" applyFont="1" applyFill="1" applyBorder="1" applyAlignment="1">
      <alignment horizontal="center" vertical="center"/>
    </xf>
    <xf numFmtId="0" fontId="21" fillId="18" borderId="0" xfId="0" applyFont="1" applyFill="1" applyBorder="1" applyAlignment="1">
      <alignment horizontal="center" vertical="center"/>
    </xf>
    <xf numFmtId="0" fontId="10" fillId="22" borderId="0" xfId="0" applyFont="1" applyFill="1" applyBorder="1" applyAlignment="1">
      <alignment horizontal="left" vertical="center" wrapText="1"/>
    </xf>
    <xf numFmtId="0" fontId="10" fillId="22" borderId="0" xfId="0" applyFont="1" applyFill="1" applyBorder="1" applyAlignment="1">
      <alignment horizontal="center" vertical="center" wrapText="1"/>
    </xf>
    <xf numFmtId="0" fontId="10" fillId="22" borderId="11" xfId="0" applyFont="1" applyFill="1" applyBorder="1" applyAlignment="1">
      <alignment horizontal="left" vertical="center" wrapText="1"/>
    </xf>
    <xf numFmtId="0" fontId="2" fillId="22" borderId="0" xfId="0" applyFont="1" applyFill="1" applyBorder="1" applyAlignment="1">
      <alignment horizontal="left" vertical="center" wrapText="1"/>
    </xf>
    <xf numFmtId="0" fontId="2" fillId="22" borderId="0" xfId="0" applyFont="1" applyFill="1" applyBorder="1" applyAlignment="1">
      <alignment horizontal="center" vertical="center" wrapText="1"/>
    </xf>
    <xf numFmtId="0" fontId="2" fillId="23" borderId="0" xfId="0" applyFont="1" applyFill="1" applyBorder="1" applyAlignment="1">
      <alignment horizontal="center" vertical="center"/>
    </xf>
    <xf numFmtId="0" fontId="10" fillId="23" borderId="0" xfId="0" applyFont="1" applyFill="1" applyBorder="1" applyAlignment="1">
      <alignment horizontal="center" vertical="center"/>
    </xf>
    <xf numFmtId="0" fontId="21" fillId="24" borderId="0" xfId="0" applyFont="1" applyFill="1" applyBorder="1" applyAlignment="1">
      <alignment horizontal="center" vertical="center"/>
    </xf>
    <xf numFmtId="0" fontId="10" fillId="23" borderId="0" xfId="0" applyFont="1" applyFill="1" applyBorder="1" applyAlignment="1">
      <alignment horizontal="left" vertical="center" wrapText="1"/>
    </xf>
    <xf numFmtId="0" fontId="2" fillId="23" borderId="0" xfId="0" applyFont="1" applyFill="1" applyBorder="1" applyAlignment="1">
      <alignment horizontal="center" vertical="center" wrapText="1"/>
    </xf>
    <xf numFmtId="0" fontId="10" fillId="23" borderId="11" xfId="0" applyFont="1" applyFill="1" applyBorder="1" applyAlignment="1">
      <alignment horizontal="left" vertical="center" wrapText="1"/>
    </xf>
    <xf numFmtId="0" fontId="2" fillId="25" borderId="0" xfId="0" applyFont="1" applyFill="1" applyBorder="1" applyAlignment="1">
      <alignment horizontal="center" vertical="center"/>
    </xf>
    <xf numFmtId="0" fontId="2" fillId="19" borderId="0" xfId="0" applyFont="1" applyFill="1" applyBorder="1" applyAlignment="1">
      <alignment horizontal="center" vertical="center"/>
    </xf>
    <xf numFmtId="0" fontId="2" fillId="25" borderId="0" xfId="0" applyFont="1" applyFill="1" applyBorder="1" applyAlignment="1">
      <alignment horizontal="left" vertical="center" wrapText="1"/>
    </xf>
    <xf numFmtId="0" fontId="2" fillId="25" borderId="0" xfId="0" applyFont="1" applyFill="1" applyBorder="1" applyAlignment="1">
      <alignment horizontal="center" vertical="center" wrapText="1"/>
    </xf>
    <xf numFmtId="0" fontId="10" fillId="25" borderId="11" xfId="0" applyFont="1" applyFill="1" applyBorder="1" applyAlignment="1">
      <alignment horizontal="left" vertical="center" wrapText="1"/>
    </xf>
    <xf numFmtId="0" fontId="9" fillId="4" borderId="0" xfId="0" applyFont="1" applyFill="1" applyBorder="1"/>
    <xf numFmtId="0" fontId="13" fillId="0" borderId="0" xfId="0" applyFont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20" fillId="21" borderId="11" xfId="0" applyFont="1" applyFill="1" applyBorder="1" applyAlignment="1">
      <alignment horizontal="left" vertical="center" wrapText="1"/>
    </xf>
    <xf numFmtId="0" fontId="13" fillId="21" borderId="0" xfId="0" applyFont="1" applyFill="1" applyBorder="1" applyAlignment="1">
      <alignment horizontal="center" vertical="center"/>
    </xf>
    <xf numFmtId="0" fontId="21" fillId="26" borderId="0" xfId="0" applyFont="1" applyFill="1" applyBorder="1" applyAlignment="1">
      <alignment horizontal="center" vertical="center"/>
    </xf>
    <xf numFmtId="0" fontId="20" fillId="18" borderId="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left" vertical="center" wrapText="1"/>
    </xf>
    <xf numFmtId="0" fontId="21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left" vertical="center"/>
    </xf>
    <xf numFmtId="0" fontId="21" fillId="17" borderId="0" xfId="0" applyFont="1" applyFill="1" applyBorder="1" applyAlignment="1">
      <alignment horizontal="center" vertical="center"/>
    </xf>
    <xf numFmtId="0" fontId="20" fillId="17" borderId="0" xfId="0" applyFont="1" applyFill="1" applyBorder="1" applyAlignment="1">
      <alignment horizontal="center" vertical="center"/>
    </xf>
    <xf numFmtId="0" fontId="21" fillId="17" borderId="0" xfId="0" applyFont="1" applyFill="1" applyBorder="1" applyAlignment="1">
      <alignment horizontal="left" vertical="center" wrapText="1"/>
    </xf>
    <xf numFmtId="0" fontId="21" fillId="17" borderId="0" xfId="0" applyFont="1" applyFill="1" applyBorder="1" applyAlignment="1">
      <alignment horizontal="center" vertical="center" wrapText="1"/>
    </xf>
    <xf numFmtId="0" fontId="20" fillId="17" borderId="11" xfId="0" applyFont="1" applyFill="1" applyBorder="1" applyAlignment="1">
      <alignment horizontal="left" vertical="center" wrapText="1"/>
    </xf>
    <xf numFmtId="0" fontId="20" fillId="17" borderId="0" xfId="0" applyFont="1" applyFill="1" applyBorder="1" applyAlignment="1">
      <alignment horizontal="left" vertical="center" wrapText="1"/>
    </xf>
    <xf numFmtId="0" fontId="20" fillId="17" borderId="0" xfId="0" applyFont="1" applyFill="1" applyBorder="1" applyAlignment="1">
      <alignment horizontal="center" vertical="center" wrapText="1"/>
    </xf>
    <xf numFmtId="0" fontId="21" fillId="27" borderId="0" xfId="0" applyFont="1" applyFill="1" applyBorder="1" applyAlignment="1">
      <alignment horizontal="center" vertical="center"/>
    </xf>
    <xf numFmtId="0" fontId="21" fillId="28" borderId="0" xfId="0" applyFont="1" applyFill="1" applyBorder="1" applyAlignment="1">
      <alignment horizontal="center" vertical="center"/>
    </xf>
    <xf numFmtId="0" fontId="20" fillId="28" borderId="0" xfId="0" applyFont="1" applyFill="1" applyBorder="1" applyAlignment="1">
      <alignment horizontal="center" vertical="center"/>
    </xf>
    <xf numFmtId="0" fontId="20" fillId="28" borderId="0" xfId="0" applyFont="1" applyFill="1" applyBorder="1" applyAlignment="1">
      <alignment horizontal="center" vertical="center" wrapText="1"/>
    </xf>
    <xf numFmtId="0" fontId="6" fillId="28" borderId="11" xfId="0" applyFont="1" applyFill="1" applyBorder="1" applyAlignment="1">
      <alignment horizontal="left" vertical="center" wrapText="1"/>
    </xf>
    <xf numFmtId="0" fontId="13" fillId="28" borderId="0" xfId="0" applyFont="1" applyFill="1" applyBorder="1" applyAlignment="1">
      <alignment horizontal="center" vertical="center"/>
    </xf>
    <xf numFmtId="0" fontId="20" fillId="28" borderId="0" xfId="0" applyFont="1" applyFill="1" applyBorder="1" applyAlignment="1">
      <alignment horizontal="left" vertical="center" wrapText="1"/>
    </xf>
    <xf numFmtId="0" fontId="20" fillId="14" borderId="0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4" fillId="2" borderId="10" xfId="0" applyFont="1" applyFill="1" applyBorder="1" applyAlignment="1">
      <alignment horizontal="left" vertical="center"/>
    </xf>
    <xf numFmtId="0" fontId="25" fillId="4" borderId="0" xfId="0" applyFont="1" applyFill="1" applyBorder="1" applyAlignment="1">
      <alignment horizontal="left" vertical="center"/>
    </xf>
    <xf numFmtId="0" fontId="25" fillId="4" borderId="0" xfId="0" applyFont="1" applyFill="1" applyBorder="1"/>
    <xf numFmtId="0" fontId="13" fillId="29" borderId="12" xfId="0" applyFont="1" applyFill="1" applyBorder="1" applyAlignment="1">
      <alignment horizontal="center" vertical="center" wrapText="1"/>
    </xf>
    <xf numFmtId="0" fontId="13" fillId="29" borderId="12" xfId="0" applyFont="1" applyFill="1" applyBorder="1" applyAlignment="1">
      <alignment vertical="center" wrapText="1"/>
    </xf>
    <xf numFmtId="0" fontId="6" fillId="29" borderId="12" xfId="0" applyFont="1" applyFill="1" applyBorder="1" applyAlignment="1">
      <alignment vertical="center" wrapText="1"/>
    </xf>
    <xf numFmtId="0" fontId="13" fillId="30" borderId="13" xfId="0" applyFont="1" applyFill="1" applyBorder="1" applyAlignment="1">
      <alignment horizontal="center" vertical="center" wrapText="1"/>
    </xf>
    <xf numFmtId="0" fontId="13" fillId="30" borderId="13" xfId="0" applyFont="1" applyFill="1" applyBorder="1" applyAlignment="1">
      <alignment horizontal="left" vertical="center" wrapText="1"/>
    </xf>
    <xf numFmtId="0" fontId="6" fillId="30" borderId="13" xfId="0" applyFont="1" applyFill="1" applyBorder="1" applyAlignment="1">
      <alignment vertical="center" wrapText="1"/>
    </xf>
    <xf numFmtId="0" fontId="13" fillId="31" borderId="13" xfId="0" applyFont="1" applyFill="1" applyBorder="1" applyAlignment="1">
      <alignment horizontal="center" vertical="center" wrapText="1"/>
    </xf>
    <xf numFmtId="0" fontId="13" fillId="31" borderId="13" xfId="0" applyFont="1" applyFill="1" applyBorder="1" applyAlignment="1">
      <alignment vertical="center" wrapText="1"/>
    </xf>
    <xf numFmtId="0" fontId="6" fillId="31" borderId="13" xfId="0" applyFont="1" applyFill="1" applyBorder="1" applyAlignment="1">
      <alignment vertical="center" wrapText="1"/>
    </xf>
    <xf numFmtId="0" fontId="13" fillId="32" borderId="13" xfId="0" applyFont="1" applyFill="1" applyBorder="1" applyAlignment="1">
      <alignment horizontal="center" vertical="center" wrapText="1"/>
    </xf>
    <xf numFmtId="0" fontId="13" fillId="32" borderId="13" xfId="0" applyFont="1" applyFill="1" applyBorder="1" applyAlignment="1">
      <alignment vertical="center" wrapText="1"/>
    </xf>
    <xf numFmtId="0" fontId="6" fillId="32" borderId="13" xfId="0" applyFont="1" applyFill="1" applyBorder="1" applyAlignment="1">
      <alignment vertical="center" wrapText="1"/>
    </xf>
    <xf numFmtId="0" fontId="13" fillId="33" borderId="13" xfId="0" applyFont="1" applyFill="1" applyBorder="1" applyAlignment="1">
      <alignment horizontal="center" vertical="center" wrapText="1"/>
    </xf>
    <xf numFmtId="0" fontId="13" fillId="33" borderId="13" xfId="0" applyFont="1" applyFill="1" applyBorder="1" applyAlignment="1">
      <alignment vertical="center" wrapText="1"/>
    </xf>
    <xf numFmtId="0" fontId="6" fillId="33" borderId="13" xfId="0" applyFont="1" applyFill="1" applyBorder="1" applyAlignment="1">
      <alignment vertical="center" wrapText="1"/>
    </xf>
    <xf numFmtId="0" fontId="20" fillId="0" borderId="0" xfId="0" applyFont="1" applyAlignment="1">
      <alignment wrapText="1"/>
    </xf>
    <xf numFmtId="0" fontId="6" fillId="30" borderId="13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600" b="1" i="0" u="none" strike="noStrike" kern="1200" baseline="0">
                <a:solidFill>
                  <a:schemeClr val="dk1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600" b="1" i="0">
                <a:solidFill>
                  <a:schemeClr val="dk1"/>
                </a:solidFill>
                <a:latin typeface="Calibri" panose="020F0502020204030204"/>
              </a:rPr>
              <a:t>Sprint One Burndown Chart</a:t>
            </a:r>
            <a:endParaRPr sz="1600" b="1" i="0">
              <a:solidFill>
                <a:schemeClr val="dk1"/>
              </a:solidFill>
              <a:latin typeface="Calibri" panose="020F0502020204030204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"Total Time"</c:f>
              <c:strCache>
                <c:ptCount val="1"/>
                <c:pt idx="0">
                  <c:v>Total Time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'Agile Sprint 1 Backlog'!$F$31:$L$31</c:f>
              <c:numCache>
                <c:formatCode>General</c:formatCode>
                <c:ptCount val="7"/>
                <c:pt idx="0">
                  <c:v>36</c:v>
                </c:pt>
                <c:pt idx="1">
                  <c:v>5.5</c:v>
                </c:pt>
                <c:pt idx="2">
                  <c:v>6</c:v>
                </c:pt>
                <c:pt idx="3">
                  <c:v>8.5</c:v>
                </c:pt>
                <c:pt idx="4">
                  <c:v>9</c:v>
                </c:pt>
                <c:pt idx="5">
                  <c:v>6</c:v>
                </c:pt>
                <c:pt idx="6">
                  <c:v>36.5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"Ideal Time"</c:f>
              <c:strCache>
                <c:ptCount val="1"/>
                <c:pt idx="0">
                  <c:v>Ideal Time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'Agile Sprint 1 Backlog'!$F$32:$L$32</c:f>
              <c:numCache>
                <c:formatCode>General</c:formatCode>
                <c:ptCount val="7"/>
                <c:pt idx="0">
                  <c:v>36</c:v>
                </c:pt>
                <c:pt idx="1">
                  <c:v>-1.7</c:v>
                </c:pt>
                <c:pt idx="2">
                  <c:v>-1.2</c:v>
                </c:pt>
                <c:pt idx="3">
                  <c:v>1.3</c:v>
                </c:pt>
                <c:pt idx="4">
                  <c:v>1.8</c:v>
                </c:pt>
                <c:pt idx="5">
                  <c:v>-1.2</c:v>
                </c:pt>
                <c:pt idx="6">
                  <c:v>36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80801106"/>
        <c:axId val="2017734609"/>
      </c:lineChart>
      <c:catAx>
        <c:axId val="380801106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017734609"/>
        <c:crosses val="autoZero"/>
        <c:auto val="1"/>
        <c:lblAlgn val="ctr"/>
        <c:lblOffset val="100"/>
        <c:noMultiLvlLbl val="0"/>
      </c:catAx>
      <c:valAx>
        <c:axId val="201773460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80801106"/>
        <c:crosses val="autoZero"/>
        <c:crossBetween val="between"/>
      </c:valAx>
      <c:spPr>
        <a:solidFill>
          <a:schemeClr val="lt1"/>
        </a:solidFill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5b3e93-8fa8-45f2-9a1d-027ecc1f7c5f}"/>
      </c:ext>
    </c:extLst>
  </c:chart>
  <c:spPr>
    <a:solidFill>
      <a:schemeClr val="lt1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238125</xdr:colOff>
      <xdr:row>0</xdr:row>
      <xdr:rowOff>104775</xdr:rowOff>
    </xdr:from>
    <xdr:ext cx="5133975" cy="4933950"/>
    <xdr:sp>
      <xdr:nvSpPr>
        <xdr:cNvPr id="3" name="Shape 3"/>
        <xdr:cNvSpPr txBox="1"/>
      </xdr:nvSpPr>
      <xdr:spPr>
        <a:xfrm>
          <a:off x="3728085" y="104775"/>
          <a:ext cx="5133975" cy="4933950"/>
        </a:xfrm>
        <a:prstGeom prst="rect">
          <a:avLst/>
        </a:prstGeom>
        <a:solidFill>
          <a:schemeClr val="accent6"/>
        </a:solidFill>
        <a:ln w="1905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 panose="020B0604020202020204"/>
            <a:buNone/>
          </a:pPr>
          <a:endParaRPr sz="1100">
            <a:solidFill>
              <a:srgbClr val="FF0000"/>
            </a:solidFill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endParaRPr>
        </a:p>
      </xdr:txBody>
    </xdr:sp>
    <xdr:clientData fLocksWithSheet="0"/>
  </xdr:oneCellAnchor>
  <xdr:oneCellAnchor>
    <xdr:from>
      <xdr:col>6</xdr:col>
      <xdr:colOff>619125</xdr:colOff>
      <xdr:row>18</xdr:row>
      <xdr:rowOff>161925</xdr:rowOff>
    </xdr:from>
    <xdr:ext cx="4686300" cy="1285875"/>
    <xdr:sp>
      <xdr:nvSpPr>
        <xdr:cNvPr id="4" name="Shape 4"/>
        <xdr:cNvSpPr txBox="1"/>
      </xdr:nvSpPr>
      <xdr:spPr>
        <a:xfrm>
          <a:off x="4109085" y="3609975"/>
          <a:ext cx="4686300" cy="1285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 panose="020B0604020202020204"/>
            <a:buNone/>
          </a:pPr>
          <a:r>
            <a:rPr lang="en-US" sz="1400" b="1">
              <a:solidFill>
                <a:srgbClr val="000000"/>
              </a:solidFill>
            </a:rPr>
            <a:t>Scrum Master</a:t>
          </a:r>
          <a:r>
            <a:rPr lang="en-US" sz="1400" b="1"/>
            <a:t>	</a:t>
          </a:r>
          <a:r>
            <a:rPr lang="en-US" sz="1400" b="0">
              <a:solidFill>
                <a:schemeClr val="accent1"/>
              </a:solidFill>
            </a:rPr>
            <a:t>Rajesh Thapa</a:t>
          </a:r>
          <a:endParaRPr sz="1400">
            <a:solidFill>
              <a:schemeClr val="accen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 panose="020B0604020202020204"/>
            <a:buNone/>
          </a:pPr>
          <a:r>
            <a:rPr lang="en-US" sz="1400" b="1"/>
            <a:t>Developer </a:t>
          </a:r>
          <a:r>
            <a:rPr lang="en-US" sz="1400">
              <a:solidFill>
                <a:srgbClr val="85200C"/>
              </a:solidFill>
            </a:rPr>
            <a:t>	 	</a:t>
          </a:r>
          <a:r>
            <a:rPr lang="en-US" sz="1400">
              <a:solidFill>
                <a:schemeClr val="accent1"/>
              </a:solidFill>
            </a:rPr>
            <a:t>Biraj Sharma</a:t>
          </a:r>
          <a:endParaRPr sz="1400">
            <a:solidFill>
              <a:schemeClr val="accen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 panose="020B0604020202020204"/>
            <a:buNone/>
          </a:pPr>
          <a:r>
            <a:rPr lang="en-US" sz="1400" b="1"/>
            <a:t>Developer </a:t>
          </a:r>
          <a:r>
            <a:rPr lang="en-US" sz="1400">
              <a:solidFill>
                <a:srgbClr val="85200C"/>
              </a:solidFill>
            </a:rPr>
            <a:t>	 	</a:t>
          </a:r>
          <a:r>
            <a:rPr lang="en-US" sz="1400">
              <a:solidFill>
                <a:schemeClr val="accent1"/>
              </a:solidFill>
            </a:rPr>
            <a:t>Anish Gautam</a:t>
          </a:r>
          <a:endParaRPr sz="1400">
            <a:solidFill>
              <a:schemeClr val="accen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 panose="020B0604020202020204"/>
            <a:buNone/>
          </a:pPr>
          <a:r>
            <a:rPr lang="en-US" sz="1400" b="1"/>
            <a:t>Developer </a:t>
          </a:r>
          <a:r>
            <a:rPr lang="en-US" sz="1400">
              <a:solidFill>
                <a:srgbClr val="85200C"/>
              </a:solidFill>
            </a:rPr>
            <a:t>	 	</a:t>
          </a:r>
          <a:r>
            <a:rPr lang="en-US" sz="1400">
              <a:solidFill>
                <a:schemeClr val="accent1"/>
              </a:solidFill>
            </a:rPr>
            <a:t>Samjhana Dahal</a:t>
          </a:r>
          <a:endParaRPr sz="1400">
            <a:solidFill>
              <a:schemeClr val="accen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 panose="020B0604020202020204"/>
            <a:buNone/>
          </a:pPr>
          <a:r>
            <a:rPr lang="en-US" sz="1400" b="1"/>
            <a:t>Developer 	</a:t>
          </a:r>
          <a:r>
            <a:rPr lang="en-US" sz="1400">
              <a:solidFill>
                <a:srgbClr val="85200C"/>
              </a:solidFill>
            </a:rPr>
            <a:t>	</a:t>
          </a:r>
          <a:r>
            <a:rPr lang="en-US" sz="1400">
              <a:solidFill>
                <a:schemeClr val="accent1"/>
              </a:solidFill>
            </a:rPr>
            <a:t>Sulav Karki</a:t>
          </a:r>
          <a:endParaRPr sz="1400">
            <a:solidFill>
              <a:schemeClr val="accent1"/>
            </a:solidFill>
          </a:endParaRPr>
        </a:p>
      </xdr:txBody>
    </xdr:sp>
    <xdr:clientData fLocksWithSheet="0"/>
  </xdr:oneCellAnchor>
  <xdr:oneCellAnchor>
    <xdr:from>
      <xdr:col>7</xdr:col>
      <xdr:colOff>428625</xdr:colOff>
      <xdr:row>15</xdr:row>
      <xdr:rowOff>142875</xdr:rowOff>
    </xdr:from>
    <xdr:ext cx="2609850" cy="647700"/>
    <xdr:sp>
      <xdr:nvSpPr>
        <xdr:cNvPr id="5" name="Shape 5"/>
        <xdr:cNvSpPr txBox="1"/>
      </xdr:nvSpPr>
      <xdr:spPr>
        <a:xfrm>
          <a:off x="4881245" y="3019425"/>
          <a:ext cx="2609850" cy="647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 panose="020B0604020202020204"/>
            <a:buNone/>
          </a:pPr>
          <a:r>
            <a:rPr lang="en-US" sz="1400" b="1"/>
            <a:t>Konnekt</a:t>
          </a:r>
          <a:endParaRPr sz="14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 panose="020B0604020202020204"/>
            <a:buNone/>
          </a:pPr>
          <a:r>
            <a:rPr lang="en-US" sz="1400"/>
            <a:t>(Social Media)</a:t>
          </a:r>
          <a:endParaRPr sz="1400"/>
        </a:p>
      </xdr:txBody>
    </xdr:sp>
    <xdr:clientData fLocksWithSheet="0"/>
  </xdr:oneCellAnchor>
  <xdr:oneCellAnchor>
    <xdr:from>
      <xdr:col>7</xdr:col>
      <xdr:colOff>495300</xdr:colOff>
      <xdr:row>2</xdr:row>
      <xdr:rowOff>9525</xdr:rowOff>
    </xdr:from>
    <xdr:ext cx="2562225" cy="2562225"/>
    <xdr:pic>
      <xdr:nvPicPr>
        <xdr:cNvPr id="2" name="image1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947920" y="409575"/>
          <a:ext cx="2562225" cy="25622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2</xdr:row>
      <xdr:rowOff>28575</xdr:rowOff>
    </xdr:from>
    <xdr:ext cx="1085850" cy="13744575"/>
    <xdr:sp>
      <xdr:nvSpPr>
        <xdr:cNvPr id="6" name="Shape 6"/>
        <xdr:cNvSpPr/>
      </xdr:nvSpPr>
      <xdr:spPr>
        <a:xfrm>
          <a:off x="3107690" y="1419225"/>
          <a:ext cx="1085850" cy="13744575"/>
        </a:xfrm>
        <a:prstGeom prst="up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 panose="020B0604020202020204"/>
            <a:buNone/>
          </a:pPr>
          <a:endParaRPr sz="1400"/>
        </a:p>
      </xdr:txBody>
    </xdr:sp>
    <xdr:clientData fLocksWithSheet="0"/>
  </xdr:oneCellAnchor>
  <xdr:oneCellAnchor>
    <xdr:from>
      <xdr:col>5</xdr:col>
      <xdr:colOff>28575</xdr:colOff>
      <xdr:row>0</xdr:row>
      <xdr:rowOff>28575</xdr:rowOff>
    </xdr:from>
    <xdr:ext cx="17116425" cy="1323975"/>
    <xdr:sp>
      <xdr:nvSpPr>
        <xdr:cNvPr id="7" name="Shape 7"/>
        <xdr:cNvSpPr/>
      </xdr:nvSpPr>
      <xdr:spPr>
        <a:xfrm>
          <a:off x="4289425" y="28575"/>
          <a:ext cx="17116425" cy="1323975"/>
        </a:xfrm>
        <a:prstGeom prst="rightArrow">
          <a:avLst>
            <a:gd name="adj1" fmla="val 50000"/>
            <a:gd name="adj2" fmla="val 50000"/>
          </a:avLst>
        </a:prstGeom>
        <a:solidFill>
          <a:srgbClr val="7030A0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 panose="020B0604020202020204"/>
            <a:buNone/>
          </a:pPr>
          <a:endParaRPr sz="1400"/>
        </a:p>
      </xdr:txBody>
    </xdr:sp>
    <xdr:clientData fLocksWithSheet="0"/>
  </xdr:oneCellAnchor>
  <xdr:oneCellAnchor>
    <xdr:from>
      <xdr:col>6</xdr:col>
      <xdr:colOff>2828925</xdr:colOff>
      <xdr:row>0</xdr:row>
      <xdr:rowOff>466725</xdr:rowOff>
    </xdr:from>
    <xdr:ext cx="5970905" cy="709930"/>
    <xdr:sp>
      <xdr:nvSpPr>
        <xdr:cNvPr id="8" name="Shape 8"/>
        <xdr:cNvSpPr txBox="1"/>
      </xdr:nvSpPr>
      <xdr:spPr>
        <a:xfrm>
          <a:off x="10376535" y="466725"/>
          <a:ext cx="5970905" cy="70993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 panose="020B0604020202020204"/>
            <a:buNone/>
          </a:pPr>
          <a:r>
            <a:rPr sz="1600" b="1">
              <a:latin typeface="Arial" panose="020B0604020202020204"/>
              <a:ea typeface="Arial" panose="020B0604020202020204"/>
              <a:cs typeface="Arial" panose="020B0604020202020204"/>
              <a:sym typeface="Arial" panose="020B0604020202020204"/>
            </a:rPr>
            <a:t>RELEASE THEME: Konnekt – Social Media Application</a:t>
          </a:r>
          <a:endParaRPr sz="1600" b="1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600"/>
            <a:buFont typeface="Arial" panose="020B0604020202020204"/>
            <a:buNone/>
          </a:pPr>
          <a:endParaRPr sz="1600" b="1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95250</xdr:colOff>
      <xdr:row>1</xdr:row>
      <xdr:rowOff>0</xdr:rowOff>
    </xdr:from>
    <xdr:ext cx="4572000" cy="2743200"/>
    <xdr:graphicFrame>
      <xdr:nvGraphicFramePr>
        <xdr:cNvPr id="1266193302" name="Chart 1"/>
        <xdr:cNvGraphicFramePr/>
      </xdr:nvGraphicFramePr>
      <xdr:xfrm>
        <a:off x="12940030" y="4667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topLeftCell="C13" workbookViewId="0">
      <selection activeCell="A1" sqref="A1"/>
    </sheetView>
  </sheetViews>
  <sheetFormatPr defaultColWidth="12.6333333333333" defaultRowHeight="15" customHeight="1"/>
  <cols>
    <col min="1" max="6" width="7.63333333333333" customWidth="1"/>
  </cols>
  <sheetData>
    <row r="1" ht="16.5" spans="1:1">
      <c r="A1" s="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96"/>
  <sheetViews>
    <sheetView zoomScale="85" zoomScaleNormal="85" workbookViewId="0">
      <selection activeCell="B13" sqref="B13"/>
    </sheetView>
  </sheetViews>
  <sheetFormatPr defaultColWidth="12.6333333333333" defaultRowHeight="15" customHeight="1"/>
  <cols>
    <col min="1" max="1" width="6.75" customWidth="1"/>
    <col min="2" max="2" width="64.75" customWidth="1"/>
    <col min="3" max="3" width="232" customWidth="1"/>
    <col min="4" max="23" width="7.63333333333333" customWidth="1"/>
  </cols>
  <sheetData>
    <row r="1" ht="30.75" spans="1:23">
      <c r="A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</row>
    <row r="2" ht="27" customHeight="1" spans="1:23">
      <c r="A2" s="70" t="s">
        <v>1</v>
      </c>
      <c r="B2" s="131" t="s">
        <v>2</v>
      </c>
      <c r="C2" s="71" t="s">
        <v>3</v>
      </c>
      <c r="D2" s="132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</row>
    <row r="3" ht="72" customHeight="1" spans="1:3">
      <c r="A3" s="134">
        <v>1</v>
      </c>
      <c r="B3" s="135" t="s">
        <v>4</v>
      </c>
      <c r="C3" s="136" t="s">
        <v>5</v>
      </c>
    </row>
    <row r="4" ht="77.25" customHeight="1" spans="1:3">
      <c r="A4" s="137">
        <v>2</v>
      </c>
      <c r="B4" s="138" t="s">
        <v>6</v>
      </c>
      <c r="C4" s="139" t="s">
        <v>7</v>
      </c>
    </row>
    <row r="5" ht="89.25" customHeight="1" spans="1:3">
      <c r="A5" s="140">
        <v>3</v>
      </c>
      <c r="B5" s="141" t="s">
        <v>8</v>
      </c>
      <c r="C5" s="142" t="s">
        <v>9</v>
      </c>
    </row>
    <row r="6" ht="156" customHeight="1" spans="1:3">
      <c r="A6" s="143">
        <v>4</v>
      </c>
      <c r="B6" s="144" t="s">
        <v>10</v>
      </c>
      <c r="C6" s="145" t="s">
        <v>11</v>
      </c>
    </row>
    <row r="7" ht="118.5" customHeight="1" spans="1:3">
      <c r="A7" s="146">
        <v>5</v>
      </c>
      <c r="B7" s="147" t="s">
        <v>12</v>
      </c>
      <c r="C7" s="148" t="s">
        <v>13</v>
      </c>
    </row>
    <row r="8" ht="80.25" customHeight="1" spans="1:3">
      <c r="A8" s="134">
        <v>6</v>
      </c>
      <c r="B8" s="135" t="s">
        <v>14</v>
      </c>
      <c r="C8" s="136" t="s">
        <v>15</v>
      </c>
    </row>
    <row r="9" ht="71.25" customHeight="1" spans="1:3">
      <c r="A9" s="137">
        <v>7</v>
      </c>
      <c r="B9" s="138" t="s">
        <v>16</v>
      </c>
      <c r="C9" s="139" t="s">
        <v>17</v>
      </c>
    </row>
    <row r="10" ht="98.25" customHeight="1" spans="1:3">
      <c r="A10" s="140">
        <v>8</v>
      </c>
      <c r="B10" s="141" t="s">
        <v>18</v>
      </c>
      <c r="C10" s="142" t="s">
        <v>19</v>
      </c>
    </row>
    <row r="11" ht="73.5" customHeight="1" spans="1:3">
      <c r="A11" s="143">
        <v>9</v>
      </c>
      <c r="B11" s="145" t="s">
        <v>20</v>
      </c>
      <c r="C11" s="145" t="s">
        <v>21</v>
      </c>
    </row>
    <row r="12" ht="68.25" customHeight="1" spans="1:3">
      <c r="A12" s="146">
        <v>10</v>
      </c>
      <c r="B12" s="148" t="s">
        <v>22</v>
      </c>
      <c r="C12" s="149" t="s">
        <v>23</v>
      </c>
    </row>
    <row r="13" ht="90" customHeight="1" spans="1:3">
      <c r="A13" s="134">
        <v>11</v>
      </c>
      <c r="B13" s="136" t="s">
        <v>24</v>
      </c>
      <c r="C13" s="149" t="s">
        <v>21</v>
      </c>
    </row>
    <row r="14" ht="78" customHeight="1" spans="1:3">
      <c r="A14" s="137">
        <v>12</v>
      </c>
      <c r="B14" s="150" t="s">
        <v>25</v>
      </c>
      <c r="C14" s="149" t="s">
        <v>26</v>
      </c>
    </row>
    <row r="15" ht="72" customHeight="1" spans="1:3">
      <c r="A15" s="140">
        <v>13</v>
      </c>
      <c r="B15" s="142" t="s">
        <v>27</v>
      </c>
      <c r="C15" s="149" t="s">
        <v>28</v>
      </c>
    </row>
    <row r="16" ht="78" customHeight="1" spans="1:3">
      <c r="A16" s="143">
        <v>14</v>
      </c>
      <c r="B16" s="145" t="s">
        <v>29</v>
      </c>
      <c r="C16" s="145" t="s">
        <v>30</v>
      </c>
    </row>
    <row r="17" ht="81.75" customHeight="1" spans="1:3">
      <c r="A17" s="146">
        <v>15</v>
      </c>
      <c r="B17" s="148" t="s">
        <v>31</v>
      </c>
      <c r="C17" s="148" t="s">
        <v>32</v>
      </c>
    </row>
    <row r="18" ht="93.75" customHeight="1" spans="1:3">
      <c r="A18" s="134">
        <v>16</v>
      </c>
      <c r="B18" s="136" t="s">
        <v>33</v>
      </c>
      <c r="C18" s="136" t="s">
        <v>34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1:C1"/>
  </mergeCells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96"/>
  <sheetViews>
    <sheetView topLeftCell="A19" workbookViewId="0">
      <selection activeCell="B27" sqref="B27"/>
    </sheetView>
  </sheetViews>
  <sheetFormatPr defaultColWidth="12.6333333333333" defaultRowHeight="15" customHeight="1"/>
  <cols>
    <col min="1" max="1" width="14.3833333333333" customWidth="1"/>
    <col min="2" max="2" width="21" customWidth="1"/>
    <col min="3" max="3" width="16.25" customWidth="1"/>
    <col min="4" max="4" width="16.8833333333333" customWidth="1"/>
    <col min="5" max="5" width="25.75" customWidth="1"/>
    <col min="6" max="6" width="30.5" customWidth="1"/>
    <col min="7" max="7" width="41.6333333333333" customWidth="1"/>
    <col min="8" max="8" width="109.883333333333" customWidth="1"/>
    <col min="9" max="27" width="7.63333333333333" customWidth="1"/>
  </cols>
  <sheetData>
    <row r="1" ht="30" spans="1:1">
      <c r="A1" s="32" t="s">
        <v>35</v>
      </c>
    </row>
    <row r="2" ht="32.25" customHeight="1" spans="1:8">
      <c r="A2" s="104" t="s">
        <v>36</v>
      </c>
      <c r="B2" s="104" t="s">
        <v>37</v>
      </c>
      <c r="C2" s="104" t="s">
        <v>38</v>
      </c>
      <c r="D2" s="104" t="s">
        <v>39</v>
      </c>
      <c r="E2" s="104" t="s">
        <v>40</v>
      </c>
      <c r="F2" s="105" t="s">
        <v>41</v>
      </c>
      <c r="G2" s="104" t="s">
        <v>42</v>
      </c>
      <c r="H2" s="104" t="s">
        <v>3</v>
      </c>
    </row>
    <row r="3" ht="80.25" customHeight="1" spans="1:27">
      <c r="A3" s="72" t="s">
        <v>43</v>
      </c>
      <c r="B3" s="72" t="s">
        <v>44</v>
      </c>
      <c r="C3" s="72">
        <v>1.1</v>
      </c>
      <c r="D3" s="73" t="s">
        <v>45</v>
      </c>
      <c r="E3" s="72" t="s">
        <v>46</v>
      </c>
      <c r="F3" s="74" t="s">
        <v>47</v>
      </c>
      <c r="G3" s="75" t="s">
        <v>48</v>
      </c>
      <c r="H3" s="106" t="s">
        <v>49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</row>
    <row r="4" ht="73.5" customHeight="1" spans="1:8">
      <c r="A4" s="107" t="s">
        <v>50</v>
      </c>
      <c r="B4" s="107" t="s">
        <v>51</v>
      </c>
      <c r="C4" s="72">
        <v>1.2</v>
      </c>
      <c r="D4" s="73" t="s">
        <v>52</v>
      </c>
      <c r="E4" s="72" t="s">
        <v>46</v>
      </c>
      <c r="F4" s="78" t="s">
        <v>53</v>
      </c>
      <c r="G4" s="79" t="s">
        <v>54</v>
      </c>
      <c r="H4" s="106" t="s">
        <v>55</v>
      </c>
    </row>
    <row r="5" ht="86.25" customHeight="1" spans="1:8">
      <c r="A5" s="107" t="s">
        <v>56</v>
      </c>
      <c r="B5" s="107" t="s">
        <v>57</v>
      </c>
      <c r="C5" s="72">
        <v>1.3</v>
      </c>
      <c r="D5" s="73" t="s">
        <v>52</v>
      </c>
      <c r="E5" s="72" t="s">
        <v>46</v>
      </c>
      <c r="F5" s="74" t="s">
        <v>58</v>
      </c>
      <c r="G5" s="79" t="s">
        <v>59</v>
      </c>
      <c r="H5" s="106" t="s">
        <v>60</v>
      </c>
    </row>
    <row r="6" ht="97.5" customHeight="1" spans="1:8">
      <c r="A6" s="107" t="s">
        <v>61</v>
      </c>
      <c r="B6" s="107" t="s">
        <v>62</v>
      </c>
      <c r="C6" s="72">
        <v>1.4</v>
      </c>
      <c r="D6" s="108" t="s">
        <v>45</v>
      </c>
      <c r="E6" s="72" t="s">
        <v>46</v>
      </c>
      <c r="F6" s="78" t="s">
        <v>63</v>
      </c>
      <c r="G6" s="79" t="s">
        <v>64</v>
      </c>
      <c r="H6" s="106" t="s">
        <v>65</v>
      </c>
    </row>
    <row r="7" ht="149.25" customHeight="1" spans="1:8">
      <c r="A7" s="107" t="s">
        <v>66</v>
      </c>
      <c r="B7" s="107" t="s">
        <v>67</v>
      </c>
      <c r="C7" s="72">
        <v>1.5</v>
      </c>
      <c r="D7" s="73" t="s">
        <v>45</v>
      </c>
      <c r="E7" s="72" t="s">
        <v>46</v>
      </c>
      <c r="F7" s="78" t="s">
        <v>68</v>
      </c>
      <c r="G7" s="79" t="s">
        <v>69</v>
      </c>
      <c r="H7" s="106" t="s">
        <v>70</v>
      </c>
    </row>
    <row r="8" ht="107.25" customHeight="1" spans="1:8">
      <c r="A8" s="107" t="s">
        <v>71</v>
      </c>
      <c r="B8" s="107" t="s">
        <v>72</v>
      </c>
      <c r="C8" s="72">
        <v>1.6</v>
      </c>
      <c r="D8" s="109" t="s">
        <v>52</v>
      </c>
      <c r="E8" s="72" t="s">
        <v>46</v>
      </c>
      <c r="F8" s="78" t="s">
        <v>73</v>
      </c>
      <c r="G8" s="79" t="s">
        <v>74</v>
      </c>
      <c r="H8" s="106" t="s">
        <v>75</v>
      </c>
    </row>
    <row r="9" ht="16.5" spans="1:27">
      <c r="A9" s="110"/>
      <c r="B9" s="110"/>
      <c r="C9" s="110"/>
      <c r="D9" s="110"/>
      <c r="E9" s="110"/>
      <c r="F9" s="111"/>
      <c r="G9" s="112"/>
      <c r="H9" s="113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</row>
    <row r="10" ht="67.5" customHeight="1" spans="1:8">
      <c r="A10" s="114" t="s">
        <v>76</v>
      </c>
      <c r="B10" s="115" t="s">
        <v>77</v>
      </c>
      <c r="C10" s="114">
        <v>2.1</v>
      </c>
      <c r="D10" s="85" t="s">
        <v>78</v>
      </c>
      <c r="E10" s="114" t="s">
        <v>46</v>
      </c>
      <c r="F10" s="116" t="s">
        <v>79</v>
      </c>
      <c r="G10" s="117" t="s">
        <v>80</v>
      </c>
      <c r="H10" s="118" t="s">
        <v>81</v>
      </c>
    </row>
    <row r="11" ht="65.25" customHeight="1" spans="1:8">
      <c r="A11" s="114" t="s">
        <v>82</v>
      </c>
      <c r="B11" s="114" t="s">
        <v>83</v>
      </c>
      <c r="C11" s="114">
        <v>2.2</v>
      </c>
      <c r="D11" s="108" t="s">
        <v>52</v>
      </c>
      <c r="E11" s="114" t="s">
        <v>46</v>
      </c>
      <c r="F11" s="116" t="s">
        <v>84</v>
      </c>
      <c r="G11" s="117" t="s">
        <v>85</v>
      </c>
      <c r="H11" s="118" t="s">
        <v>86</v>
      </c>
    </row>
    <row r="12" ht="78" customHeight="1" spans="1:8">
      <c r="A12" s="114" t="s">
        <v>87</v>
      </c>
      <c r="B12" s="114" t="s">
        <v>88</v>
      </c>
      <c r="C12" s="114">
        <v>2.3</v>
      </c>
      <c r="D12" s="73" t="s">
        <v>78</v>
      </c>
      <c r="E12" s="114" t="s">
        <v>46</v>
      </c>
      <c r="F12" s="119" t="s">
        <v>89</v>
      </c>
      <c r="G12" s="120" t="s">
        <v>90</v>
      </c>
      <c r="H12" s="118" t="s">
        <v>91</v>
      </c>
    </row>
    <row r="13" ht="65.25" customHeight="1" spans="1:8">
      <c r="A13" s="114" t="s">
        <v>92</v>
      </c>
      <c r="B13" s="114" t="s">
        <v>93</v>
      </c>
      <c r="C13" s="114">
        <v>2.4</v>
      </c>
      <c r="D13" s="73" t="s">
        <v>78</v>
      </c>
      <c r="E13" s="114" t="s">
        <v>46</v>
      </c>
      <c r="F13" s="119" t="s">
        <v>94</v>
      </c>
      <c r="G13" s="120" t="s">
        <v>95</v>
      </c>
      <c r="H13" s="118" t="s">
        <v>96</v>
      </c>
    </row>
    <row r="14" ht="63.75" customHeight="1" spans="1:8">
      <c r="A14" s="114" t="s">
        <v>97</v>
      </c>
      <c r="B14" s="114" t="s">
        <v>98</v>
      </c>
      <c r="C14" s="115">
        <v>2.5</v>
      </c>
      <c r="D14" s="73" t="s">
        <v>99</v>
      </c>
      <c r="E14" s="115" t="s">
        <v>46</v>
      </c>
      <c r="F14" s="119" t="s">
        <v>100</v>
      </c>
      <c r="G14" s="120" t="s">
        <v>101</v>
      </c>
      <c r="H14" s="118" t="s">
        <v>102</v>
      </c>
    </row>
    <row r="15" ht="64.5" customHeight="1" spans="1:8">
      <c r="A15" s="114" t="s">
        <v>103</v>
      </c>
      <c r="B15" s="114" t="s">
        <v>72</v>
      </c>
      <c r="C15" s="115">
        <v>2.6</v>
      </c>
      <c r="D15" s="121" t="s">
        <v>52</v>
      </c>
      <c r="E15" s="114" t="s">
        <v>46</v>
      </c>
      <c r="F15" s="119" t="s">
        <v>89</v>
      </c>
      <c r="G15" s="117" t="s">
        <v>104</v>
      </c>
      <c r="H15" s="118" t="s">
        <v>105</v>
      </c>
    </row>
    <row r="16" ht="16.5" spans="1:8">
      <c r="A16" s="82"/>
      <c r="B16" s="82"/>
      <c r="C16" s="82"/>
      <c r="D16" s="82"/>
      <c r="E16" s="82"/>
      <c r="F16" s="38"/>
      <c r="G16" s="103" t="s">
        <v>106</v>
      </c>
      <c r="H16" s="113"/>
    </row>
    <row r="17" ht="16.5" spans="1:8">
      <c r="A17" s="122" t="s">
        <v>107</v>
      </c>
      <c r="B17" s="123" t="s">
        <v>108</v>
      </c>
      <c r="C17" s="122">
        <v>3.1</v>
      </c>
      <c r="D17" s="73" t="s">
        <v>52</v>
      </c>
      <c r="E17" s="122" t="s">
        <v>46</v>
      </c>
      <c r="F17" t="s">
        <v>109</v>
      </c>
      <c r="G17" s="124" t="s">
        <v>110</v>
      </c>
      <c r="H17" s="125" t="s">
        <v>111</v>
      </c>
    </row>
    <row r="18" ht="96" customHeight="1" spans="1:8">
      <c r="A18" s="126" t="s">
        <v>112</v>
      </c>
      <c r="B18" s="126" t="s">
        <v>113</v>
      </c>
      <c r="C18" s="122">
        <v>3.2</v>
      </c>
      <c r="D18" s="73" t="s">
        <v>78</v>
      </c>
      <c r="E18" s="122" t="s">
        <v>46</v>
      </c>
      <c r="F18" s="127" t="s">
        <v>114</v>
      </c>
      <c r="G18" s="124" t="s">
        <v>115</v>
      </c>
      <c r="H18" s="125" t="s">
        <v>116</v>
      </c>
    </row>
    <row r="19" ht="65.25" customHeight="1" spans="1:8">
      <c r="A19" s="126" t="s">
        <v>117</v>
      </c>
      <c r="B19" s="126" t="s">
        <v>118</v>
      </c>
      <c r="C19" s="123">
        <v>3.3</v>
      </c>
      <c r="D19" s="128" t="s">
        <v>78</v>
      </c>
      <c r="E19" s="123" t="s">
        <v>46</v>
      </c>
      <c r="F19" s="127" t="s">
        <v>119</v>
      </c>
      <c r="G19" s="124" t="s">
        <v>120</v>
      </c>
      <c r="H19" s="125" t="s">
        <v>121</v>
      </c>
    </row>
    <row r="20" ht="67.5" customHeight="1" spans="1:8">
      <c r="A20" s="126" t="s">
        <v>122</v>
      </c>
      <c r="B20" s="126" t="s">
        <v>123</v>
      </c>
      <c r="C20" s="123">
        <v>3.4</v>
      </c>
      <c r="D20" s="128" t="s">
        <v>52</v>
      </c>
      <c r="E20" s="123" t="s">
        <v>46</v>
      </c>
      <c r="F20" s="127" t="s">
        <v>124</v>
      </c>
      <c r="G20" s="124" t="s">
        <v>125</v>
      </c>
      <c r="H20" s="125" t="s">
        <v>126</v>
      </c>
    </row>
    <row r="21" ht="69" customHeight="1" spans="1:8">
      <c r="A21" s="126"/>
      <c r="B21" s="126"/>
      <c r="C21" s="123">
        <v>3.6</v>
      </c>
      <c r="D21" s="121" t="s">
        <v>52</v>
      </c>
      <c r="E21" s="122" t="s">
        <v>46</v>
      </c>
      <c r="F21" s="127" t="s">
        <v>127</v>
      </c>
      <c r="G21" s="124" t="s">
        <v>128</v>
      </c>
      <c r="H21" s="125" t="s">
        <v>129</v>
      </c>
    </row>
    <row r="22" ht="15.75" customHeight="1" spans="1:27">
      <c r="A22" s="129"/>
      <c r="B22" s="129"/>
      <c r="C22" s="110"/>
      <c r="D22" s="110"/>
      <c r="E22" s="110"/>
      <c r="F22" s="111"/>
      <c r="G22" s="112"/>
      <c r="H22" s="113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</row>
    <row r="23" ht="15.75" customHeight="1" spans="1:8">
      <c r="A23" s="82"/>
      <c r="B23" s="82"/>
      <c r="C23" s="82"/>
      <c r="D23" s="82"/>
      <c r="E23" s="82"/>
      <c r="F23" s="38"/>
      <c r="G23" s="103"/>
      <c r="H23" s="113"/>
    </row>
    <row r="24" ht="15.75" customHeight="1" spans="1:7">
      <c r="A24" s="82"/>
      <c r="B24" s="82"/>
      <c r="C24" s="82"/>
      <c r="D24" s="82"/>
      <c r="E24" s="82"/>
      <c r="F24" s="38"/>
      <c r="G24" s="103"/>
    </row>
    <row r="25" ht="15.75" customHeight="1" spans="1:7">
      <c r="A25" s="82"/>
      <c r="B25" s="82"/>
      <c r="C25" s="82"/>
      <c r="D25" s="82"/>
      <c r="E25" s="82"/>
      <c r="F25" s="38"/>
      <c r="G25" s="103"/>
    </row>
    <row r="26" ht="15.75" customHeight="1" spans="1:7">
      <c r="A26" s="82"/>
      <c r="B26" s="82"/>
      <c r="C26" s="82"/>
      <c r="D26" s="82"/>
      <c r="E26" s="82"/>
      <c r="F26" s="38"/>
      <c r="G26" s="103"/>
    </row>
    <row r="27" ht="15.75" customHeight="1" spans="1:7">
      <c r="A27" s="82"/>
      <c r="B27" s="82"/>
      <c r="C27" s="82"/>
      <c r="D27" s="82"/>
      <c r="E27" s="82"/>
      <c r="F27" s="38"/>
      <c r="G27" s="103"/>
    </row>
    <row r="28" ht="15.75" customHeight="1" spans="1:7">
      <c r="A28" s="82"/>
      <c r="B28" s="82"/>
      <c r="C28" s="82"/>
      <c r="D28" s="82" t="s">
        <v>106</v>
      </c>
      <c r="E28" s="82"/>
      <c r="F28" s="38"/>
      <c r="G28" s="103"/>
    </row>
    <row r="29" ht="15.75" customHeight="1" spans="1:7">
      <c r="A29" s="82"/>
      <c r="B29" s="82"/>
      <c r="C29" s="82"/>
      <c r="D29" s="82"/>
      <c r="E29" s="82"/>
      <c r="F29" s="38"/>
      <c r="G29" s="103"/>
    </row>
    <row r="30" ht="15.75" customHeight="1" spans="1:7">
      <c r="A30" s="82"/>
      <c r="B30" s="82"/>
      <c r="C30" s="82"/>
      <c r="D30" s="82"/>
      <c r="E30" s="82"/>
      <c r="F30" s="38"/>
      <c r="G30" s="103"/>
    </row>
    <row r="31" ht="15.75" customHeight="1" spans="1:7">
      <c r="A31" s="82"/>
      <c r="B31" s="82"/>
      <c r="C31" s="82"/>
      <c r="D31" s="82"/>
      <c r="E31" s="82"/>
      <c r="F31" s="38"/>
      <c r="G31" s="103"/>
    </row>
    <row r="32" ht="15.75" customHeight="1" spans="1:7">
      <c r="A32" s="82"/>
      <c r="B32" s="82"/>
      <c r="C32" s="82"/>
      <c r="D32" s="82"/>
      <c r="E32" s="82"/>
      <c r="F32" s="38"/>
      <c r="G32" s="103"/>
    </row>
    <row r="33" ht="15.75" customHeight="1" spans="1:7">
      <c r="A33" s="82"/>
      <c r="B33" s="82"/>
      <c r="C33" s="82"/>
      <c r="D33" s="82"/>
      <c r="E33" s="82"/>
      <c r="F33" s="38"/>
      <c r="G33" s="103"/>
    </row>
    <row r="34" ht="15.75" customHeight="1" spans="1:7">
      <c r="A34" s="82"/>
      <c r="B34" s="82"/>
      <c r="C34" s="82"/>
      <c r="D34" s="82"/>
      <c r="E34" s="82"/>
      <c r="F34" s="38"/>
      <c r="G34" s="103"/>
    </row>
    <row r="35" ht="15.75" customHeight="1" spans="1:7">
      <c r="A35" s="82"/>
      <c r="B35" s="82"/>
      <c r="C35" s="82"/>
      <c r="D35" s="82"/>
      <c r="E35" s="82"/>
      <c r="F35" s="38"/>
      <c r="G35" s="103"/>
    </row>
    <row r="36" ht="15.75" customHeight="1" spans="1:7">
      <c r="A36" s="82"/>
      <c r="B36" s="82"/>
      <c r="C36" s="82"/>
      <c r="D36" s="82"/>
      <c r="E36" s="82"/>
      <c r="F36" s="38"/>
      <c r="G36" s="103"/>
    </row>
    <row r="37" ht="15.75" customHeight="1" spans="1:7">
      <c r="A37" s="82"/>
      <c r="B37" s="82"/>
      <c r="C37" s="82"/>
      <c r="D37" s="82"/>
      <c r="E37" s="82"/>
      <c r="F37" s="38"/>
      <c r="G37" s="103"/>
    </row>
    <row r="38" ht="15.75" customHeight="1" spans="1:7">
      <c r="A38" s="82"/>
      <c r="B38" s="82"/>
      <c r="C38" s="82"/>
      <c r="D38" s="82"/>
      <c r="E38" s="82"/>
      <c r="F38" s="38"/>
      <c r="G38" s="103"/>
    </row>
    <row r="39" ht="15.75" customHeight="1" spans="1:7">
      <c r="A39" s="82"/>
      <c r="B39" s="82"/>
      <c r="C39" s="82"/>
      <c r="D39" s="82"/>
      <c r="E39" s="82"/>
      <c r="F39" s="38"/>
      <c r="G39" s="103"/>
    </row>
    <row r="40" ht="15.75" customHeight="1" spans="1:7">
      <c r="A40" s="82"/>
      <c r="B40" s="82"/>
      <c r="C40" s="82"/>
      <c r="D40" s="82"/>
      <c r="E40" s="82"/>
      <c r="F40" s="38"/>
      <c r="G40" s="103"/>
    </row>
    <row r="41" ht="15.75" customHeight="1" spans="1:7">
      <c r="A41" s="82"/>
      <c r="B41" s="82"/>
      <c r="C41" s="82"/>
      <c r="D41" s="82"/>
      <c r="E41" s="82"/>
      <c r="F41" s="38"/>
      <c r="G41" s="103"/>
    </row>
    <row r="42" ht="15.75" customHeight="1" spans="1:7">
      <c r="A42" s="82"/>
      <c r="B42" s="82"/>
      <c r="C42" s="82"/>
      <c r="D42" s="82"/>
      <c r="E42" s="82"/>
      <c r="F42" s="38"/>
      <c r="G42" s="103"/>
    </row>
    <row r="43" ht="15.75" customHeight="1" spans="1:7">
      <c r="A43" s="82"/>
      <c r="B43" s="82"/>
      <c r="C43" s="82"/>
      <c r="D43" s="82"/>
      <c r="E43" s="82"/>
      <c r="F43" s="38"/>
      <c r="G43" s="103"/>
    </row>
    <row r="44" ht="15.75" customHeight="1" spans="1:7">
      <c r="A44" s="82"/>
      <c r="B44" s="82"/>
      <c r="C44" s="82"/>
      <c r="D44" s="82"/>
      <c r="E44" s="82"/>
      <c r="F44" s="38"/>
      <c r="G44" s="103"/>
    </row>
    <row r="45" ht="15.75" customHeight="1" spans="1:7">
      <c r="A45" s="82"/>
      <c r="B45" s="82"/>
      <c r="C45" s="82"/>
      <c r="D45" s="82"/>
      <c r="E45" s="82"/>
      <c r="F45" s="38"/>
      <c r="G45" s="103"/>
    </row>
    <row r="46" ht="15.75" customHeight="1" spans="1:7">
      <c r="A46" s="82"/>
      <c r="B46" s="82"/>
      <c r="C46" s="82"/>
      <c r="D46" s="82"/>
      <c r="E46" s="82"/>
      <c r="F46" s="38"/>
      <c r="G46" s="103"/>
    </row>
    <row r="47" ht="15.75" customHeight="1" spans="1:7">
      <c r="A47" s="82"/>
      <c r="B47" s="82"/>
      <c r="C47" s="82"/>
      <c r="D47" s="82"/>
      <c r="E47" s="82"/>
      <c r="F47" s="38"/>
      <c r="G47" s="103"/>
    </row>
    <row r="48" ht="15.75" customHeight="1" spans="1:7">
      <c r="A48" s="82"/>
      <c r="B48" s="82"/>
      <c r="C48" s="82"/>
      <c r="D48" s="82"/>
      <c r="E48" s="82"/>
      <c r="F48" s="38"/>
      <c r="G48" s="103"/>
    </row>
    <row r="49" ht="15.75" customHeight="1" spans="1:7">
      <c r="A49" s="82"/>
      <c r="B49" s="82"/>
      <c r="C49" s="82"/>
      <c r="D49" s="82"/>
      <c r="E49" s="82"/>
      <c r="F49" s="38"/>
      <c r="G49" s="103"/>
    </row>
    <row r="50" ht="15.75" customHeight="1" spans="1:7">
      <c r="A50" s="82"/>
      <c r="B50" s="82"/>
      <c r="C50" s="82"/>
      <c r="D50" s="82"/>
      <c r="E50" s="82"/>
      <c r="F50" s="38"/>
      <c r="G50" s="103"/>
    </row>
    <row r="51" ht="15.75" customHeight="1" spans="1:7">
      <c r="A51" s="82"/>
      <c r="B51" s="82"/>
      <c r="C51" s="82"/>
      <c r="D51" s="82"/>
      <c r="E51" s="82"/>
      <c r="F51" s="38"/>
      <c r="G51" s="103"/>
    </row>
    <row r="52" ht="15.75" customHeight="1" spans="1:7">
      <c r="A52" s="82"/>
      <c r="B52" s="82"/>
      <c r="C52" s="82"/>
      <c r="D52" s="82"/>
      <c r="E52" s="82"/>
      <c r="F52" s="38"/>
      <c r="G52" s="103"/>
    </row>
    <row r="53" ht="15.75" customHeight="1" spans="1:7">
      <c r="A53" s="82"/>
      <c r="B53" s="82"/>
      <c r="C53" s="82"/>
      <c r="D53" s="82"/>
      <c r="E53" s="82"/>
      <c r="F53" s="38"/>
      <c r="G53" s="103"/>
    </row>
    <row r="54" ht="15.75" customHeight="1" spans="1:7">
      <c r="A54" s="82"/>
      <c r="B54" s="82"/>
      <c r="C54" s="82"/>
      <c r="D54" s="82"/>
      <c r="E54" s="82"/>
      <c r="F54" s="38"/>
      <c r="G54" s="103"/>
    </row>
    <row r="55" ht="15.75" customHeight="1" spans="1:7">
      <c r="A55" s="82"/>
      <c r="B55" s="82"/>
      <c r="C55" s="82"/>
      <c r="D55" s="82"/>
      <c r="E55" s="82"/>
      <c r="F55" s="38"/>
      <c r="G55" s="103"/>
    </row>
    <row r="56" ht="15.75" customHeight="1" spans="1:7">
      <c r="A56" s="82"/>
      <c r="B56" s="82"/>
      <c r="C56" s="82"/>
      <c r="D56" s="82"/>
      <c r="E56" s="82"/>
      <c r="F56" s="38"/>
      <c r="G56" s="103"/>
    </row>
    <row r="57" ht="15.75" customHeight="1" spans="1:7">
      <c r="A57" s="82"/>
      <c r="B57" s="82"/>
      <c r="C57" s="82"/>
      <c r="D57" s="82"/>
      <c r="E57" s="82"/>
      <c r="F57" s="38"/>
      <c r="G57" s="103"/>
    </row>
    <row r="58" ht="15.75" customHeight="1" spans="1:7">
      <c r="A58" s="82"/>
      <c r="B58" s="82"/>
      <c r="C58" s="82"/>
      <c r="D58" s="82"/>
      <c r="E58" s="82"/>
      <c r="F58" s="38"/>
      <c r="G58" s="103"/>
    </row>
    <row r="59" ht="15.75" customHeight="1" spans="1:7">
      <c r="A59" s="82"/>
      <c r="B59" s="82"/>
      <c r="C59" s="82"/>
      <c r="D59" s="82"/>
      <c r="E59" s="82"/>
      <c r="F59" s="38"/>
      <c r="G59" s="103"/>
    </row>
    <row r="60" ht="15.75" customHeight="1" spans="1:7">
      <c r="A60" s="82"/>
      <c r="B60" s="82"/>
      <c r="C60" s="82"/>
      <c r="D60" s="82"/>
      <c r="E60" s="82"/>
      <c r="F60" s="38"/>
      <c r="G60" s="103"/>
    </row>
    <row r="61" ht="15.75" customHeight="1" spans="1:7">
      <c r="A61" s="82"/>
      <c r="B61" s="82"/>
      <c r="C61" s="82"/>
      <c r="D61" s="82"/>
      <c r="E61" s="82"/>
      <c r="F61" s="38"/>
      <c r="G61" s="103"/>
    </row>
    <row r="62" ht="15.75" customHeight="1" spans="1:7">
      <c r="A62" s="82"/>
      <c r="B62" s="82"/>
      <c r="C62" s="82"/>
      <c r="D62" s="82"/>
      <c r="E62" s="82"/>
      <c r="F62" s="38"/>
      <c r="G62" s="103"/>
    </row>
    <row r="63" ht="15.75" customHeight="1" spans="1:7">
      <c r="A63" s="82"/>
      <c r="B63" s="82"/>
      <c r="C63" s="82"/>
      <c r="D63" s="82"/>
      <c r="E63" s="82"/>
      <c r="F63" s="38"/>
      <c r="G63" s="103"/>
    </row>
    <row r="64" ht="15.75" customHeight="1" spans="1:7">
      <c r="A64" s="82"/>
      <c r="B64" s="82"/>
      <c r="C64" s="82"/>
      <c r="D64" s="82"/>
      <c r="E64" s="82"/>
      <c r="F64" s="38"/>
      <c r="G64" s="103"/>
    </row>
    <row r="65" ht="15.75" customHeight="1" spans="1:7">
      <c r="A65" s="82"/>
      <c r="B65" s="82"/>
      <c r="C65" s="82"/>
      <c r="D65" s="82"/>
      <c r="E65" s="82"/>
      <c r="F65" s="38"/>
      <c r="G65" s="103"/>
    </row>
    <row r="66" ht="15.75" customHeight="1" spans="1:7">
      <c r="A66" s="82"/>
      <c r="B66" s="82"/>
      <c r="C66" s="82"/>
      <c r="D66" s="82"/>
      <c r="E66" s="82"/>
      <c r="F66" s="38"/>
      <c r="G66" s="103"/>
    </row>
    <row r="67" ht="15.75" customHeight="1" spans="1:7">
      <c r="A67" s="82"/>
      <c r="B67" s="82"/>
      <c r="C67" s="82"/>
      <c r="D67" s="82"/>
      <c r="E67" s="82"/>
      <c r="F67" s="38"/>
      <c r="G67" s="103"/>
    </row>
    <row r="68" ht="15.75" customHeight="1" spans="1:7">
      <c r="A68" s="82"/>
      <c r="B68" s="82"/>
      <c r="C68" s="82"/>
      <c r="D68" s="82"/>
      <c r="E68" s="82"/>
      <c r="F68" s="38"/>
      <c r="G68" s="103"/>
    </row>
    <row r="69" ht="15.75" customHeight="1" spans="1:7">
      <c r="A69" s="82"/>
      <c r="B69" s="82"/>
      <c r="C69" s="82"/>
      <c r="D69" s="82"/>
      <c r="E69" s="82"/>
      <c r="F69" s="38"/>
      <c r="G69" s="103"/>
    </row>
    <row r="70" ht="15.75" customHeight="1" spans="1:7">
      <c r="A70" s="82"/>
      <c r="B70" s="82"/>
      <c r="C70" s="82"/>
      <c r="D70" s="82"/>
      <c r="E70" s="82"/>
      <c r="F70" s="38"/>
      <c r="G70" s="103"/>
    </row>
    <row r="71" ht="15.75" customHeight="1" spans="1:7">
      <c r="A71" s="82"/>
      <c r="B71" s="82"/>
      <c r="C71" s="82"/>
      <c r="D71" s="82"/>
      <c r="E71" s="82"/>
      <c r="F71" s="38"/>
      <c r="G71" s="103"/>
    </row>
    <row r="72" ht="15.75" customHeight="1" spans="1:7">
      <c r="A72" s="82"/>
      <c r="B72" s="82"/>
      <c r="C72" s="82"/>
      <c r="D72" s="82"/>
      <c r="E72" s="82"/>
      <c r="F72" s="38"/>
      <c r="G72" s="103"/>
    </row>
    <row r="73" ht="15.75" customHeight="1" spans="1:7">
      <c r="A73" s="82"/>
      <c r="B73" s="82"/>
      <c r="C73" s="82"/>
      <c r="D73" s="82"/>
      <c r="E73" s="82"/>
      <c r="F73" s="38"/>
      <c r="G73" s="103"/>
    </row>
    <row r="74" ht="15.75" customHeight="1" spans="1:7">
      <c r="A74" s="82"/>
      <c r="B74" s="82"/>
      <c r="C74" s="82"/>
      <c r="D74" s="82"/>
      <c r="E74" s="82"/>
      <c r="F74" s="38"/>
      <c r="G74" s="103"/>
    </row>
    <row r="75" ht="15.75" customHeight="1" spans="1:7">
      <c r="A75" s="82"/>
      <c r="B75" s="82"/>
      <c r="C75" s="82"/>
      <c r="D75" s="82"/>
      <c r="E75" s="82"/>
      <c r="F75" s="38"/>
      <c r="G75" s="103"/>
    </row>
    <row r="76" ht="15.75" customHeight="1" spans="1:7">
      <c r="A76" s="82"/>
      <c r="B76" s="82"/>
      <c r="C76" s="82"/>
      <c r="D76" s="82"/>
      <c r="E76" s="82"/>
      <c r="F76" s="38"/>
      <c r="G76" s="103"/>
    </row>
    <row r="77" ht="15.75" customHeight="1" spans="1:7">
      <c r="A77" s="82"/>
      <c r="B77" s="82"/>
      <c r="C77" s="82"/>
      <c r="D77" s="82"/>
      <c r="E77" s="82"/>
      <c r="F77" s="38"/>
      <c r="G77" s="103"/>
    </row>
    <row r="78" ht="15.75" customHeight="1" spans="1:7">
      <c r="A78" s="82"/>
      <c r="B78" s="82"/>
      <c r="C78" s="82"/>
      <c r="D78" s="82"/>
      <c r="E78" s="82"/>
      <c r="F78" s="38"/>
      <c r="G78" s="103"/>
    </row>
    <row r="79" ht="15.75" customHeight="1" spans="1:7">
      <c r="A79" s="82"/>
      <c r="B79" s="82"/>
      <c r="C79" s="82"/>
      <c r="D79" s="82"/>
      <c r="E79" s="82"/>
      <c r="F79" s="38"/>
      <c r="G79" s="103"/>
    </row>
    <row r="80" ht="15.75" customHeight="1" spans="1:7">
      <c r="A80" s="82"/>
      <c r="B80" s="82"/>
      <c r="C80" s="82"/>
      <c r="D80" s="82"/>
      <c r="E80" s="82"/>
      <c r="F80" s="38"/>
      <c r="G80" s="103"/>
    </row>
    <row r="81" ht="15.75" customHeight="1" spans="1:7">
      <c r="A81" s="82"/>
      <c r="B81" s="82"/>
      <c r="C81" s="82"/>
      <c r="D81" s="82"/>
      <c r="E81" s="82"/>
      <c r="F81" s="38"/>
      <c r="G81" s="103"/>
    </row>
    <row r="82" ht="15.75" customHeight="1" spans="1:7">
      <c r="A82" s="82"/>
      <c r="B82" s="82"/>
      <c r="C82" s="82"/>
      <c r="D82" s="82"/>
      <c r="E82" s="82"/>
      <c r="F82" s="38"/>
      <c r="G82" s="103"/>
    </row>
    <row r="83" ht="15.75" customHeight="1" spans="1:7">
      <c r="A83" s="82"/>
      <c r="B83" s="82"/>
      <c r="C83" s="82"/>
      <c r="D83" s="82"/>
      <c r="E83" s="82"/>
      <c r="F83" s="38"/>
      <c r="G83" s="103"/>
    </row>
    <row r="84" ht="15.75" customHeight="1" spans="1:7">
      <c r="A84" s="82"/>
      <c r="B84" s="82"/>
      <c r="C84" s="82"/>
      <c r="D84" s="82"/>
      <c r="E84" s="82"/>
      <c r="F84" s="38"/>
      <c r="G84" s="103"/>
    </row>
    <row r="85" ht="15.75" customHeight="1" spans="1:7">
      <c r="A85" s="82"/>
      <c r="B85" s="82"/>
      <c r="C85" s="82"/>
      <c r="D85" s="82"/>
      <c r="E85" s="82"/>
      <c r="F85" s="38"/>
      <c r="G85" s="103"/>
    </row>
    <row r="86" ht="15.75" customHeight="1" spans="1:7">
      <c r="A86" s="82"/>
      <c r="B86" s="82"/>
      <c r="C86" s="82"/>
      <c r="D86" s="82"/>
      <c r="E86" s="82"/>
      <c r="F86" s="38"/>
      <c r="G86" s="103"/>
    </row>
    <row r="87" ht="15.75" customHeight="1" spans="1:7">
      <c r="A87" s="82"/>
      <c r="B87" s="82"/>
      <c r="C87" s="82"/>
      <c r="D87" s="82"/>
      <c r="E87" s="82"/>
      <c r="F87" s="38"/>
      <c r="G87" s="103"/>
    </row>
    <row r="88" ht="15.75" customHeight="1" spans="1:7">
      <c r="A88" s="82"/>
      <c r="B88" s="82"/>
      <c r="C88" s="82"/>
      <c r="D88" s="82"/>
      <c r="E88" s="82"/>
      <c r="F88" s="38"/>
      <c r="G88" s="103"/>
    </row>
    <row r="89" ht="15.75" customHeight="1" spans="1:7">
      <c r="A89" s="82"/>
      <c r="B89" s="82"/>
      <c r="C89" s="82"/>
      <c r="D89" s="82"/>
      <c r="E89" s="82"/>
      <c r="F89" s="38"/>
      <c r="G89" s="103"/>
    </row>
    <row r="90" ht="15.75" customHeight="1" spans="1:7">
      <c r="A90" s="82"/>
      <c r="B90" s="82"/>
      <c r="C90" s="82"/>
      <c r="D90" s="82"/>
      <c r="E90" s="82"/>
      <c r="F90" s="38"/>
      <c r="G90" s="103"/>
    </row>
    <row r="91" ht="15.75" customHeight="1" spans="1:7">
      <c r="A91" s="82"/>
      <c r="B91" s="82"/>
      <c r="C91" s="82"/>
      <c r="D91" s="82"/>
      <c r="E91" s="82"/>
      <c r="F91" s="38"/>
      <c r="G91" s="103"/>
    </row>
    <row r="92" ht="15.75" customHeight="1" spans="1:7">
      <c r="A92" s="82"/>
      <c r="B92" s="82"/>
      <c r="C92" s="82"/>
      <c r="D92" s="82"/>
      <c r="E92" s="82"/>
      <c r="F92" s="38"/>
      <c r="G92" s="103"/>
    </row>
    <row r="93" ht="15.75" customHeight="1" spans="1:7">
      <c r="A93" s="82"/>
      <c r="B93" s="82"/>
      <c r="C93" s="82"/>
      <c r="D93" s="82"/>
      <c r="E93" s="82"/>
      <c r="F93" s="38"/>
      <c r="G93" s="103"/>
    </row>
    <row r="94" ht="15.75" customHeight="1" spans="1:7">
      <c r="A94" s="82"/>
      <c r="B94" s="82"/>
      <c r="C94" s="82"/>
      <c r="D94" s="82"/>
      <c r="E94" s="82"/>
      <c r="F94" s="38"/>
      <c r="G94" s="103"/>
    </row>
    <row r="95" ht="15.75" customHeight="1" spans="1:7">
      <c r="A95" s="82"/>
      <c r="B95" s="82"/>
      <c r="C95" s="82"/>
      <c r="D95" s="82"/>
      <c r="E95" s="82"/>
      <c r="F95" s="38"/>
      <c r="G95" s="103"/>
    </row>
    <row r="96" ht="15.75" customHeight="1" spans="1:7">
      <c r="A96" s="82"/>
      <c r="B96" s="82"/>
      <c r="C96" s="82"/>
      <c r="D96" s="82"/>
      <c r="E96" s="82"/>
      <c r="F96" s="38"/>
      <c r="G96" s="103"/>
    </row>
    <row r="97" ht="15.75" customHeight="1" spans="1:7">
      <c r="A97" s="82"/>
      <c r="B97" s="82"/>
      <c r="C97" s="82"/>
      <c r="D97" s="82"/>
      <c r="E97" s="82"/>
      <c r="F97" s="38"/>
      <c r="G97" s="103"/>
    </row>
    <row r="98" ht="15.75" customHeight="1" spans="1:7">
      <c r="A98" s="82"/>
      <c r="B98" s="82"/>
      <c r="C98" s="82"/>
      <c r="D98" s="82"/>
      <c r="E98" s="82"/>
      <c r="F98" s="38"/>
      <c r="G98" s="103"/>
    </row>
    <row r="99" ht="15.75" customHeight="1" spans="1:7">
      <c r="A99" s="82"/>
      <c r="B99" s="82"/>
      <c r="C99" s="82"/>
      <c r="D99" s="82"/>
      <c r="E99" s="82"/>
      <c r="F99" s="38"/>
      <c r="G99" s="103"/>
    </row>
    <row r="100" ht="15.75" customHeight="1" spans="1:7">
      <c r="A100" s="82"/>
      <c r="B100" s="82"/>
      <c r="C100" s="82"/>
      <c r="D100" s="82"/>
      <c r="E100" s="82"/>
      <c r="F100" s="38"/>
      <c r="G100" s="103"/>
    </row>
    <row r="101" ht="15.75" customHeight="1" spans="1:7">
      <c r="A101" s="82"/>
      <c r="B101" s="82"/>
      <c r="C101" s="82"/>
      <c r="D101" s="82"/>
      <c r="E101" s="82"/>
      <c r="F101" s="38"/>
      <c r="G101" s="103"/>
    </row>
    <row r="102" ht="15.75" customHeight="1" spans="1:7">
      <c r="A102" s="82"/>
      <c r="B102" s="82"/>
      <c r="C102" s="82"/>
      <c r="D102" s="82"/>
      <c r="E102" s="82"/>
      <c r="F102" s="38"/>
      <c r="G102" s="103"/>
    </row>
    <row r="103" ht="15.75" customHeight="1" spans="1:7">
      <c r="A103" s="82"/>
      <c r="B103" s="82"/>
      <c r="C103" s="82"/>
      <c r="D103" s="82"/>
      <c r="E103" s="82"/>
      <c r="F103" s="38"/>
      <c r="G103" s="103"/>
    </row>
    <row r="104" ht="15.75" customHeight="1" spans="1:7">
      <c r="A104" s="82"/>
      <c r="B104" s="82"/>
      <c r="C104" s="82"/>
      <c r="D104" s="82"/>
      <c r="E104" s="82"/>
      <c r="F104" s="38"/>
      <c r="G104" s="103"/>
    </row>
    <row r="105" ht="15.75" customHeight="1" spans="1:7">
      <c r="A105" s="82"/>
      <c r="B105" s="82"/>
      <c r="C105" s="82"/>
      <c r="D105" s="82"/>
      <c r="E105" s="82"/>
      <c r="F105" s="38"/>
      <c r="G105" s="103"/>
    </row>
    <row r="106" ht="15.75" customHeight="1" spans="1:7">
      <c r="A106" s="82"/>
      <c r="B106" s="82"/>
      <c r="C106" s="82"/>
      <c r="D106" s="82"/>
      <c r="E106" s="82"/>
      <c r="F106" s="38"/>
      <c r="G106" s="103"/>
    </row>
    <row r="107" ht="15.75" customHeight="1" spans="1:7">
      <c r="A107" s="82"/>
      <c r="B107" s="82"/>
      <c r="C107" s="82"/>
      <c r="D107" s="82"/>
      <c r="E107" s="82"/>
      <c r="F107" s="38"/>
      <c r="G107" s="103"/>
    </row>
    <row r="108" ht="15.75" customHeight="1" spans="1:7">
      <c r="A108" s="82"/>
      <c r="B108" s="82"/>
      <c r="C108" s="82"/>
      <c r="D108" s="82"/>
      <c r="E108" s="82"/>
      <c r="F108" s="38"/>
      <c r="G108" s="103"/>
    </row>
    <row r="109" ht="15.75" customHeight="1" spans="1:7">
      <c r="A109" s="82"/>
      <c r="B109" s="82"/>
      <c r="C109" s="82"/>
      <c r="D109" s="82"/>
      <c r="E109" s="82"/>
      <c r="F109" s="38"/>
      <c r="G109" s="103"/>
    </row>
    <row r="110" ht="15.75" customHeight="1" spans="1:7">
      <c r="A110" s="82"/>
      <c r="B110" s="82"/>
      <c r="C110" s="82"/>
      <c r="D110" s="82"/>
      <c r="E110" s="82"/>
      <c r="F110" s="38"/>
      <c r="G110" s="103"/>
    </row>
    <row r="111" ht="15.75" customHeight="1" spans="1:7">
      <c r="A111" s="82"/>
      <c r="B111" s="82"/>
      <c r="C111" s="82"/>
      <c r="D111" s="82"/>
      <c r="E111" s="82"/>
      <c r="F111" s="38"/>
      <c r="G111" s="103"/>
    </row>
    <row r="112" ht="15.75" customHeight="1" spans="1:7">
      <c r="A112" s="82"/>
      <c r="B112" s="82"/>
      <c r="C112" s="82"/>
      <c r="D112" s="82"/>
      <c r="E112" s="82"/>
      <c r="F112" s="38"/>
      <c r="G112" s="103"/>
    </row>
    <row r="113" ht="15.75" customHeight="1" spans="1:7">
      <c r="A113" s="82"/>
      <c r="B113" s="82"/>
      <c r="C113" s="82"/>
      <c r="D113" s="82"/>
      <c r="E113" s="82"/>
      <c r="F113" s="38"/>
      <c r="G113" s="103"/>
    </row>
    <row r="114" ht="15.75" customHeight="1" spans="1:7">
      <c r="A114" s="82"/>
      <c r="B114" s="82"/>
      <c r="C114" s="82"/>
      <c r="D114" s="82"/>
      <c r="E114" s="82"/>
      <c r="F114" s="38"/>
      <c r="G114" s="103"/>
    </row>
    <row r="115" ht="15.75" customHeight="1" spans="1:7">
      <c r="A115" s="82"/>
      <c r="B115" s="82"/>
      <c r="C115" s="82"/>
      <c r="D115" s="82"/>
      <c r="E115" s="82"/>
      <c r="F115" s="38"/>
      <c r="G115" s="103"/>
    </row>
    <row r="116" ht="15.75" customHeight="1" spans="1:7">
      <c r="A116" s="82"/>
      <c r="B116" s="82"/>
      <c r="C116" s="82"/>
      <c r="D116" s="82"/>
      <c r="E116" s="82"/>
      <c r="F116" s="38"/>
      <c r="G116" s="103"/>
    </row>
    <row r="117" ht="15.75" customHeight="1" spans="1:7">
      <c r="A117" s="82"/>
      <c r="B117" s="82"/>
      <c r="C117" s="82"/>
      <c r="D117" s="82"/>
      <c r="E117" s="82"/>
      <c r="F117" s="38"/>
      <c r="G117" s="103"/>
    </row>
    <row r="118" ht="15.75" customHeight="1" spans="1:7">
      <c r="A118" s="82"/>
      <c r="B118" s="82"/>
      <c r="C118" s="82"/>
      <c r="D118" s="82"/>
      <c r="E118" s="82"/>
      <c r="F118" s="38"/>
      <c r="G118" s="103"/>
    </row>
    <row r="119" ht="15.75" customHeight="1" spans="1:7">
      <c r="A119" s="82"/>
      <c r="B119" s="82"/>
      <c r="C119" s="82"/>
      <c r="D119" s="82"/>
      <c r="E119" s="82"/>
      <c r="F119" s="38"/>
      <c r="G119" s="103"/>
    </row>
    <row r="120" ht="15.75" customHeight="1" spans="1:7">
      <c r="A120" s="82"/>
      <c r="B120" s="82"/>
      <c r="C120" s="82"/>
      <c r="D120" s="82"/>
      <c r="E120" s="82"/>
      <c r="F120" s="38"/>
      <c r="G120" s="103"/>
    </row>
    <row r="121" ht="15.75" customHeight="1" spans="1:7">
      <c r="A121" s="82"/>
      <c r="B121" s="82"/>
      <c r="C121" s="82"/>
      <c r="D121" s="82"/>
      <c r="E121" s="82"/>
      <c r="F121" s="38"/>
      <c r="G121" s="103"/>
    </row>
    <row r="122" ht="15.75" customHeight="1" spans="1:7">
      <c r="A122" s="82"/>
      <c r="B122" s="82"/>
      <c r="C122" s="82"/>
      <c r="D122" s="82"/>
      <c r="E122" s="82"/>
      <c r="F122" s="38"/>
      <c r="G122" s="103"/>
    </row>
    <row r="123" ht="15.75" customHeight="1" spans="1:7">
      <c r="A123" s="82"/>
      <c r="B123" s="82"/>
      <c r="C123" s="82"/>
      <c r="D123" s="82"/>
      <c r="E123" s="82"/>
      <c r="F123" s="38"/>
      <c r="G123" s="103"/>
    </row>
    <row r="124" ht="15.75" customHeight="1" spans="1:7">
      <c r="A124" s="82"/>
      <c r="B124" s="82"/>
      <c r="C124" s="82"/>
      <c r="D124" s="82"/>
      <c r="E124" s="82"/>
      <c r="F124" s="38"/>
      <c r="G124" s="103"/>
    </row>
    <row r="125" ht="15.75" customHeight="1" spans="1:7">
      <c r="A125" s="82"/>
      <c r="B125" s="82"/>
      <c r="C125" s="82"/>
      <c r="D125" s="82"/>
      <c r="E125" s="82"/>
      <c r="F125" s="38"/>
      <c r="G125" s="103"/>
    </row>
    <row r="126" ht="15.75" customHeight="1" spans="1:7">
      <c r="A126" s="82"/>
      <c r="B126" s="82"/>
      <c r="C126" s="82"/>
      <c r="D126" s="82"/>
      <c r="E126" s="82"/>
      <c r="F126" s="38"/>
      <c r="G126" s="103"/>
    </row>
    <row r="127" ht="15.75" customHeight="1" spans="1:7">
      <c r="A127" s="82"/>
      <c r="B127" s="82"/>
      <c r="C127" s="82"/>
      <c r="D127" s="82"/>
      <c r="E127" s="82"/>
      <c r="F127" s="38"/>
      <c r="G127" s="103"/>
    </row>
    <row r="128" ht="15.75" customHeight="1" spans="1:7">
      <c r="A128" s="82"/>
      <c r="B128" s="82"/>
      <c r="C128" s="82"/>
      <c r="D128" s="82"/>
      <c r="E128" s="82"/>
      <c r="F128" s="38"/>
      <c r="G128" s="103"/>
    </row>
    <row r="129" ht="15.75" customHeight="1" spans="1:7">
      <c r="A129" s="82"/>
      <c r="B129" s="82"/>
      <c r="C129" s="82"/>
      <c r="D129" s="82"/>
      <c r="E129" s="82"/>
      <c r="F129" s="38"/>
      <c r="G129" s="103"/>
    </row>
    <row r="130" ht="15.75" customHeight="1" spans="1:7">
      <c r="A130" s="82"/>
      <c r="B130" s="82"/>
      <c r="C130" s="82"/>
      <c r="D130" s="82"/>
      <c r="E130" s="82"/>
      <c r="F130" s="38"/>
      <c r="G130" s="103"/>
    </row>
    <row r="131" ht="15.75" customHeight="1" spans="1:7">
      <c r="A131" s="82"/>
      <c r="B131" s="82"/>
      <c r="C131" s="82"/>
      <c r="D131" s="82"/>
      <c r="E131" s="82"/>
      <c r="F131" s="38"/>
      <c r="G131" s="103"/>
    </row>
    <row r="132" ht="15.75" customHeight="1" spans="1:7">
      <c r="A132" s="82"/>
      <c r="B132" s="82"/>
      <c r="C132" s="82"/>
      <c r="D132" s="82"/>
      <c r="E132" s="82"/>
      <c r="F132" s="38"/>
      <c r="G132" s="103"/>
    </row>
    <row r="133" ht="15.75" customHeight="1" spans="1:7">
      <c r="A133" s="82"/>
      <c r="B133" s="82"/>
      <c r="C133" s="82"/>
      <c r="D133" s="82"/>
      <c r="E133" s="82"/>
      <c r="F133" s="38"/>
      <c r="G133" s="103"/>
    </row>
    <row r="134" ht="15.75" customHeight="1" spans="1:7">
      <c r="A134" s="82"/>
      <c r="B134" s="82"/>
      <c r="C134" s="82"/>
      <c r="D134" s="82"/>
      <c r="E134" s="82"/>
      <c r="F134" s="38"/>
      <c r="G134" s="103"/>
    </row>
    <row r="135" ht="15.75" customHeight="1" spans="1:7">
      <c r="A135" s="82"/>
      <c r="B135" s="82"/>
      <c r="C135" s="82"/>
      <c r="D135" s="82"/>
      <c r="E135" s="82"/>
      <c r="F135" s="38"/>
      <c r="G135" s="103"/>
    </row>
    <row r="136" ht="15.75" customHeight="1" spans="1:7">
      <c r="A136" s="82"/>
      <c r="B136" s="82"/>
      <c r="C136" s="82"/>
      <c r="D136" s="82"/>
      <c r="E136" s="82"/>
      <c r="F136" s="38"/>
      <c r="G136" s="103"/>
    </row>
    <row r="137" ht="15.75" customHeight="1" spans="1:7">
      <c r="A137" s="82"/>
      <c r="B137" s="82"/>
      <c r="C137" s="82"/>
      <c r="D137" s="82"/>
      <c r="E137" s="82"/>
      <c r="F137" s="38"/>
      <c r="G137" s="103"/>
    </row>
    <row r="138" ht="15.75" customHeight="1" spans="1:7">
      <c r="A138" s="82"/>
      <c r="B138" s="82"/>
      <c r="C138" s="82"/>
      <c r="D138" s="82"/>
      <c r="E138" s="82"/>
      <c r="F138" s="38"/>
      <c r="G138" s="103"/>
    </row>
    <row r="139" ht="15.75" customHeight="1" spans="1:7">
      <c r="A139" s="82"/>
      <c r="B139" s="82"/>
      <c r="C139" s="82"/>
      <c r="D139" s="82"/>
      <c r="E139" s="82"/>
      <c r="F139" s="38"/>
      <c r="G139" s="103"/>
    </row>
    <row r="140" ht="15.75" customHeight="1" spans="1:7">
      <c r="A140" s="82"/>
      <c r="B140" s="82"/>
      <c r="C140" s="82"/>
      <c r="D140" s="82"/>
      <c r="E140" s="82"/>
      <c r="F140" s="38"/>
      <c r="G140" s="103"/>
    </row>
    <row r="141" ht="15.75" customHeight="1" spans="1:7">
      <c r="A141" s="82"/>
      <c r="B141" s="82"/>
      <c r="C141" s="82"/>
      <c r="D141" s="82"/>
      <c r="E141" s="82"/>
      <c r="F141" s="38"/>
      <c r="G141" s="103"/>
    </row>
    <row r="142" ht="15.75" customHeight="1" spans="1:7">
      <c r="A142" s="82"/>
      <c r="B142" s="82"/>
      <c r="C142" s="82"/>
      <c r="D142" s="82"/>
      <c r="E142" s="82"/>
      <c r="F142" s="38"/>
      <c r="G142" s="103"/>
    </row>
    <row r="143" ht="15.75" customHeight="1" spans="1:7">
      <c r="A143" s="82"/>
      <c r="B143" s="82"/>
      <c r="C143" s="82"/>
      <c r="D143" s="82"/>
      <c r="E143" s="82"/>
      <c r="F143" s="38"/>
      <c r="G143" s="103"/>
    </row>
    <row r="144" ht="15.75" customHeight="1" spans="1:7">
      <c r="A144" s="82"/>
      <c r="B144" s="82"/>
      <c r="C144" s="82"/>
      <c r="D144" s="82"/>
      <c r="E144" s="82"/>
      <c r="F144" s="38"/>
      <c r="G144" s="103"/>
    </row>
    <row r="145" ht="15.75" customHeight="1" spans="1:7">
      <c r="A145" s="82"/>
      <c r="B145" s="82"/>
      <c r="C145" s="82"/>
      <c r="D145" s="82"/>
      <c r="E145" s="82"/>
      <c r="F145" s="38"/>
      <c r="G145" s="103"/>
    </row>
    <row r="146" ht="15.75" customHeight="1" spans="1:7">
      <c r="A146" s="82"/>
      <c r="B146" s="82"/>
      <c r="C146" s="82"/>
      <c r="D146" s="82"/>
      <c r="E146" s="82"/>
      <c r="F146" s="38"/>
      <c r="G146" s="103"/>
    </row>
    <row r="147" ht="15.75" customHeight="1" spans="1:7">
      <c r="A147" s="82"/>
      <c r="B147" s="82"/>
      <c r="C147" s="82"/>
      <c r="D147" s="82"/>
      <c r="E147" s="82"/>
      <c r="F147" s="38"/>
      <c r="G147" s="103"/>
    </row>
    <row r="148" ht="15.75" customHeight="1" spans="1:7">
      <c r="A148" s="82"/>
      <c r="B148" s="82"/>
      <c r="C148" s="82"/>
      <c r="D148" s="82"/>
      <c r="E148" s="82"/>
      <c r="F148" s="38"/>
      <c r="G148" s="103"/>
    </row>
    <row r="149" ht="15.75" customHeight="1" spans="1:7">
      <c r="A149" s="82"/>
      <c r="B149" s="82"/>
      <c r="C149" s="82"/>
      <c r="D149" s="82"/>
      <c r="E149" s="82"/>
      <c r="F149" s="38"/>
      <c r="G149" s="103"/>
    </row>
    <row r="150" ht="15.75" customHeight="1" spans="1:7">
      <c r="A150" s="82"/>
      <c r="B150" s="82"/>
      <c r="C150" s="82"/>
      <c r="D150" s="82"/>
      <c r="E150" s="82"/>
      <c r="F150" s="38"/>
      <c r="G150" s="103"/>
    </row>
    <row r="151" ht="15.75" customHeight="1" spans="1:7">
      <c r="A151" s="82"/>
      <c r="B151" s="82"/>
      <c r="C151" s="82"/>
      <c r="D151" s="82"/>
      <c r="E151" s="82"/>
      <c r="F151" s="38"/>
      <c r="G151" s="103"/>
    </row>
    <row r="152" ht="15.75" customHeight="1" spans="1:7">
      <c r="A152" s="82"/>
      <c r="B152" s="82"/>
      <c r="C152" s="82"/>
      <c r="D152" s="82"/>
      <c r="E152" s="82"/>
      <c r="F152" s="38"/>
      <c r="G152" s="103"/>
    </row>
    <row r="153" ht="15.75" customHeight="1" spans="1:7">
      <c r="A153" s="82"/>
      <c r="B153" s="82"/>
      <c r="C153" s="82"/>
      <c r="D153" s="82"/>
      <c r="E153" s="82"/>
      <c r="F153" s="38"/>
      <c r="G153" s="103"/>
    </row>
    <row r="154" ht="15.75" customHeight="1" spans="1:7">
      <c r="A154" s="82"/>
      <c r="B154" s="82"/>
      <c r="C154" s="82"/>
      <c r="D154" s="82"/>
      <c r="E154" s="82"/>
      <c r="F154" s="38"/>
      <c r="G154" s="103"/>
    </row>
    <row r="155" ht="15.75" customHeight="1" spans="1:7">
      <c r="A155" s="82"/>
      <c r="B155" s="82"/>
      <c r="C155" s="82"/>
      <c r="D155" s="82"/>
      <c r="E155" s="82"/>
      <c r="F155" s="38"/>
      <c r="G155" s="103"/>
    </row>
    <row r="156" ht="15.75" customHeight="1" spans="1:7">
      <c r="A156" s="82"/>
      <c r="B156" s="82"/>
      <c r="C156" s="82"/>
      <c r="D156" s="82"/>
      <c r="E156" s="82"/>
      <c r="F156" s="38"/>
      <c r="G156" s="103"/>
    </row>
    <row r="157" ht="15.75" customHeight="1" spans="1:7">
      <c r="A157" s="82"/>
      <c r="B157" s="82"/>
      <c r="C157" s="82"/>
      <c r="D157" s="82"/>
      <c r="E157" s="82"/>
      <c r="F157" s="38"/>
      <c r="G157" s="103"/>
    </row>
    <row r="158" ht="15.75" customHeight="1" spans="1:7">
      <c r="A158" s="82"/>
      <c r="B158" s="82"/>
      <c r="C158" s="82"/>
      <c r="D158" s="82"/>
      <c r="E158" s="82"/>
      <c r="F158" s="38"/>
      <c r="G158" s="103"/>
    </row>
    <row r="159" ht="15.75" customHeight="1" spans="1:7">
      <c r="A159" s="82"/>
      <c r="B159" s="82"/>
      <c r="C159" s="82"/>
      <c r="D159" s="82"/>
      <c r="E159" s="82"/>
      <c r="F159" s="38"/>
      <c r="G159" s="103"/>
    </row>
    <row r="160" ht="15.75" customHeight="1" spans="1:7">
      <c r="A160" s="82"/>
      <c r="B160" s="82"/>
      <c r="C160" s="82"/>
      <c r="D160" s="82"/>
      <c r="E160" s="82"/>
      <c r="F160" s="38"/>
      <c r="G160" s="103"/>
    </row>
    <row r="161" ht="15.75" customHeight="1" spans="1:7">
      <c r="A161" s="82"/>
      <c r="B161" s="82"/>
      <c r="C161" s="82"/>
      <c r="D161" s="82"/>
      <c r="E161" s="82"/>
      <c r="F161" s="38"/>
      <c r="G161" s="103"/>
    </row>
    <row r="162" ht="15.75" customHeight="1" spans="1:7">
      <c r="A162" s="82"/>
      <c r="B162" s="82"/>
      <c r="C162" s="82"/>
      <c r="D162" s="82"/>
      <c r="E162" s="82"/>
      <c r="F162" s="38"/>
      <c r="G162" s="103"/>
    </row>
    <row r="163" ht="15.75" customHeight="1" spans="1:7">
      <c r="A163" s="82"/>
      <c r="B163" s="82"/>
      <c r="C163" s="82"/>
      <c r="D163" s="82"/>
      <c r="E163" s="82"/>
      <c r="F163" s="38"/>
      <c r="G163" s="103"/>
    </row>
    <row r="164" ht="15.75" customHeight="1" spans="1:7">
      <c r="A164" s="82"/>
      <c r="B164" s="82"/>
      <c r="C164" s="82"/>
      <c r="D164" s="82"/>
      <c r="E164" s="82"/>
      <c r="F164" s="38"/>
      <c r="G164" s="103"/>
    </row>
    <row r="165" ht="15.75" customHeight="1" spans="1:7">
      <c r="A165" s="82"/>
      <c r="B165" s="82"/>
      <c r="C165" s="82"/>
      <c r="D165" s="82"/>
      <c r="E165" s="82"/>
      <c r="F165" s="38"/>
      <c r="G165" s="103"/>
    </row>
    <row r="166" ht="15.75" customHeight="1" spans="1:7">
      <c r="A166" s="82"/>
      <c r="B166" s="82"/>
      <c r="C166" s="82"/>
      <c r="D166" s="82"/>
      <c r="E166" s="82"/>
      <c r="F166" s="38"/>
      <c r="G166" s="103"/>
    </row>
    <row r="167" ht="15.75" customHeight="1" spans="1:7">
      <c r="A167" s="82"/>
      <c r="B167" s="82"/>
      <c r="C167" s="82"/>
      <c r="D167" s="82"/>
      <c r="E167" s="82"/>
      <c r="F167" s="38"/>
      <c r="G167" s="103"/>
    </row>
    <row r="168" ht="15.75" customHeight="1" spans="1:7">
      <c r="A168" s="82"/>
      <c r="B168" s="82"/>
      <c r="C168" s="82"/>
      <c r="D168" s="82"/>
      <c r="E168" s="82"/>
      <c r="F168" s="38"/>
      <c r="G168" s="103"/>
    </row>
    <row r="169" ht="15.75" customHeight="1" spans="1:7">
      <c r="A169" s="82"/>
      <c r="B169" s="82"/>
      <c r="C169" s="82"/>
      <c r="D169" s="82"/>
      <c r="E169" s="82"/>
      <c r="F169" s="38"/>
      <c r="G169" s="103"/>
    </row>
    <row r="170" ht="15.75" customHeight="1" spans="1:7">
      <c r="A170" s="82"/>
      <c r="B170" s="82"/>
      <c r="C170" s="82"/>
      <c r="D170" s="82"/>
      <c r="E170" s="82"/>
      <c r="F170" s="38"/>
      <c r="G170" s="103"/>
    </row>
    <row r="171" ht="15.75" customHeight="1" spans="1:7">
      <c r="A171" s="82"/>
      <c r="B171" s="82"/>
      <c r="C171" s="82"/>
      <c r="D171" s="82"/>
      <c r="E171" s="82"/>
      <c r="F171" s="38"/>
      <c r="G171" s="103"/>
    </row>
    <row r="172" ht="15.75" customHeight="1" spans="1:7">
      <c r="A172" s="82"/>
      <c r="B172" s="82"/>
      <c r="C172" s="82"/>
      <c r="D172" s="82"/>
      <c r="E172" s="82"/>
      <c r="F172" s="38"/>
      <c r="G172" s="103"/>
    </row>
    <row r="173" ht="15.75" customHeight="1" spans="1:7">
      <c r="A173" s="82"/>
      <c r="B173" s="82"/>
      <c r="C173" s="82"/>
      <c r="D173" s="82"/>
      <c r="E173" s="82"/>
      <c r="F173" s="38"/>
      <c r="G173" s="103"/>
    </row>
    <row r="174" ht="15.75" customHeight="1" spans="1:7">
      <c r="A174" s="82"/>
      <c r="B174" s="82"/>
      <c r="C174" s="82"/>
      <c r="D174" s="82"/>
      <c r="E174" s="82"/>
      <c r="F174" s="38"/>
      <c r="G174" s="103"/>
    </row>
    <row r="175" ht="15.75" customHeight="1" spans="1:7">
      <c r="A175" s="82"/>
      <c r="B175" s="82"/>
      <c r="C175" s="82"/>
      <c r="D175" s="82"/>
      <c r="E175" s="82"/>
      <c r="F175" s="38"/>
      <c r="G175" s="103"/>
    </row>
    <row r="176" ht="15.75" customHeight="1" spans="1:7">
      <c r="A176" s="82"/>
      <c r="B176" s="82"/>
      <c r="C176" s="82"/>
      <c r="D176" s="82"/>
      <c r="E176" s="82"/>
      <c r="F176" s="38"/>
      <c r="G176" s="103"/>
    </row>
    <row r="177" ht="15.75" customHeight="1" spans="1:7">
      <c r="A177" s="82"/>
      <c r="B177" s="82"/>
      <c r="C177" s="82"/>
      <c r="D177" s="82"/>
      <c r="E177" s="82"/>
      <c r="F177" s="38"/>
      <c r="G177" s="103"/>
    </row>
    <row r="178" ht="15.75" customHeight="1" spans="1:7">
      <c r="A178" s="82"/>
      <c r="B178" s="82"/>
      <c r="C178" s="82"/>
      <c r="D178" s="82"/>
      <c r="E178" s="82"/>
      <c r="F178" s="38"/>
      <c r="G178" s="103"/>
    </row>
    <row r="179" ht="15.75" customHeight="1" spans="1:7">
      <c r="A179" s="82"/>
      <c r="B179" s="82"/>
      <c r="C179" s="82"/>
      <c r="D179" s="82"/>
      <c r="E179" s="82"/>
      <c r="F179" s="38"/>
      <c r="G179" s="103"/>
    </row>
    <row r="180" ht="15.75" customHeight="1" spans="1:7">
      <c r="A180" s="82"/>
      <c r="B180" s="82"/>
      <c r="C180" s="82"/>
      <c r="D180" s="82"/>
      <c r="E180" s="82"/>
      <c r="F180" s="38"/>
      <c r="G180" s="103"/>
    </row>
    <row r="181" ht="15.75" customHeight="1" spans="1:7">
      <c r="A181" s="82"/>
      <c r="B181" s="82"/>
      <c r="C181" s="82"/>
      <c r="D181" s="82"/>
      <c r="E181" s="82"/>
      <c r="F181" s="38"/>
      <c r="G181" s="103"/>
    </row>
    <row r="182" ht="15.75" customHeight="1" spans="1:7">
      <c r="A182" s="82"/>
      <c r="B182" s="82"/>
      <c r="C182" s="82"/>
      <c r="D182" s="82"/>
      <c r="E182" s="82"/>
      <c r="F182" s="38"/>
      <c r="G182" s="103"/>
    </row>
    <row r="183" ht="15.75" customHeight="1" spans="1:7">
      <c r="A183" s="82"/>
      <c r="B183" s="82"/>
      <c r="C183" s="82"/>
      <c r="D183" s="82"/>
      <c r="E183" s="82"/>
      <c r="F183" s="38"/>
      <c r="G183" s="103"/>
    </row>
    <row r="184" ht="15.75" customHeight="1" spans="1:7">
      <c r="A184" s="82"/>
      <c r="B184" s="82"/>
      <c r="C184" s="82"/>
      <c r="D184" s="82"/>
      <c r="E184" s="82"/>
      <c r="F184" s="38"/>
      <c r="G184" s="103"/>
    </row>
    <row r="185" ht="15.75" customHeight="1" spans="1:7">
      <c r="A185" s="82"/>
      <c r="B185" s="82"/>
      <c r="C185" s="82"/>
      <c r="D185" s="82"/>
      <c r="E185" s="82"/>
      <c r="F185" s="38"/>
      <c r="G185" s="103"/>
    </row>
    <row r="186" ht="15.75" customHeight="1" spans="1:7">
      <c r="A186" s="82"/>
      <c r="B186" s="82"/>
      <c r="C186" s="82"/>
      <c r="D186" s="82"/>
      <c r="E186" s="82"/>
      <c r="F186" s="38"/>
      <c r="G186" s="103"/>
    </row>
    <row r="187" ht="15.75" customHeight="1" spans="1:7">
      <c r="A187" s="82"/>
      <c r="B187" s="82"/>
      <c r="C187" s="82"/>
      <c r="D187" s="82"/>
      <c r="E187" s="82"/>
      <c r="F187" s="38"/>
      <c r="G187" s="103"/>
    </row>
    <row r="188" ht="15.75" customHeight="1" spans="1:7">
      <c r="A188" s="82"/>
      <c r="B188" s="82"/>
      <c r="C188" s="82"/>
      <c r="D188" s="82"/>
      <c r="E188" s="82"/>
      <c r="F188" s="38"/>
      <c r="G188" s="103"/>
    </row>
    <row r="189" ht="15.75" customHeight="1" spans="1:7">
      <c r="A189" s="82"/>
      <c r="B189" s="82"/>
      <c r="C189" s="82"/>
      <c r="D189" s="82"/>
      <c r="E189" s="82"/>
      <c r="F189" s="38"/>
      <c r="G189" s="103"/>
    </row>
    <row r="190" ht="15.75" customHeight="1" spans="1:7">
      <c r="A190" s="82"/>
      <c r="B190" s="82"/>
      <c r="C190" s="82"/>
      <c r="D190" s="82"/>
      <c r="E190" s="82"/>
      <c r="F190" s="38"/>
      <c r="G190" s="103"/>
    </row>
    <row r="191" ht="15.75" customHeight="1" spans="1:7">
      <c r="A191" s="82"/>
      <c r="B191" s="82"/>
      <c r="C191" s="82"/>
      <c r="D191" s="82"/>
      <c r="E191" s="82"/>
      <c r="F191" s="38"/>
      <c r="G191" s="103"/>
    </row>
    <row r="192" ht="15.75" customHeight="1" spans="1:7">
      <c r="A192" s="82"/>
      <c r="B192" s="82"/>
      <c r="C192" s="82"/>
      <c r="D192" s="82"/>
      <c r="E192" s="82"/>
      <c r="F192" s="38"/>
      <c r="G192" s="103"/>
    </row>
    <row r="193" ht="15.75" customHeight="1" spans="1:7">
      <c r="A193" s="82"/>
      <c r="B193" s="82"/>
      <c r="C193" s="82"/>
      <c r="D193" s="82"/>
      <c r="E193" s="82"/>
      <c r="F193" s="38"/>
      <c r="G193" s="103"/>
    </row>
    <row r="194" ht="15.75" customHeight="1" spans="1:7">
      <c r="A194" s="82"/>
      <c r="B194" s="82"/>
      <c r="C194" s="82"/>
      <c r="D194" s="82"/>
      <c r="E194" s="82"/>
      <c r="F194" s="38"/>
      <c r="G194" s="103"/>
    </row>
    <row r="195" ht="15.75" customHeight="1" spans="1:7">
      <c r="A195" s="82"/>
      <c r="B195" s="82"/>
      <c r="C195" s="82"/>
      <c r="D195" s="82"/>
      <c r="E195" s="82"/>
      <c r="F195" s="38"/>
      <c r="G195" s="103"/>
    </row>
    <row r="196" ht="15.75" customHeight="1" spans="1:7">
      <c r="A196" s="82"/>
      <c r="B196" s="82"/>
      <c r="C196" s="82"/>
      <c r="D196" s="82"/>
      <c r="E196" s="82"/>
      <c r="F196" s="38"/>
      <c r="G196" s="103"/>
    </row>
    <row r="197" ht="15.75" customHeight="1" spans="1:7">
      <c r="A197" s="82"/>
      <c r="B197" s="82"/>
      <c r="C197" s="82"/>
      <c r="D197" s="82"/>
      <c r="E197" s="82"/>
      <c r="F197" s="38"/>
      <c r="G197" s="103"/>
    </row>
    <row r="198" ht="15.75" customHeight="1" spans="1:7">
      <c r="A198" s="82"/>
      <c r="B198" s="82"/>
      <c r="C198" s="82"/>
      <c r="D198" s="82"/>
      <c r="E198" s="82"/>
      <c r="F198" s="38"/>
      <c r="G198" s="103"/>
    </row>
    <row r="199" ht="15.75" customHeight="1" spans="1:7">
      <c r="A199" s="82"/>
      <c r="B199" s="82"/>
      <c r="C199" s="82"/>
      <c r="D199" s="82"/>
      <c r="E199" s="82"/>
      <c r="F199" s="38"/>
      <c r="G199" s="103"/>
    </row>
    <row r="200" ht="15.75" customHeight="1" spans="1:7">
      <c r="A200" s="82"/>
      <c r="B200" s="82"/>
      <c r="C200" s="82"/>
      <c r="D200" s="82"/>
      <c r="E200" s="82"/>
      <c r="F200" s="38"/>
      <c r="G200" s="103"/>
    </row>
    <row r="201" ht="15.75" customHeight="1" spans="1:7">
      <c r="A201" s="82"/>
      <c r="B201" s="82"/>
      <c r="C201" s="82"/>
      <c r="D201" s="82"/>
      <c r="E201" s="82"/>
      <c r="F201" s="38"/>
      <c r="G201" s="103"/>
    </row>
    <row r="202" ht="15.75" customHeight="1" spans="1:7">
      <c r="A202" s="82"/>
      <c r="B202" s="82"/>
      <c r="C202" s="82"/>
      <c r="D202" s="82"/>
      <c r="E202" s="82"/>
      <c r="F202" s="38"/>
      <c r="G202" s="103"/>
    </row>
    <row r="203" ht="15.75" customHeight="1" spans="1:7">
      <c r="A203" s="82"/>
      <c r="B203" s="82"/>
      <c r="C203" s="82"/>
      <c r="D203" s="82"/>
      <c r="E203" s="82"/>
      <c r="F203" s="38"/>
      <c r="G203" s="103"/>
    </row>
    <row r="204" ht="15.75" customHeight="1" spans="1:7">
      <c r="A204" s="82"/>
      <c r="B204" s="82"/>
      <c r="C204" s="82"/>
      <c r="D204" s="82"/>
      <c r="E204" s="82"/>
      <c r="F204" s="38"/>
      <c r="G204" s="103"/>
    </row>
    <row r="205" ht="15.75" customHeight="1" spans="1:7">
      <c r="A205" s="82"/>
      <c r="B205" s="82"/>
      <c r="C205" s="82"/>
      <c r="D205" s="82"/>
      <c r="E205" s="82"/>
      <c r="F205" s="38"/>
      <c r="G205" s="103"/>
    </row>
    <row r="206" ht="15.75" customHeight="1" spans="1:7">
      <c r="A206" s="82"/>
      <c r="B206" s="82"/>
      <c r="C206" s="82"/>
      <c r="D206" s="82"/>
      <c r="E206" s="82"/>
      <c r="F206" s="38"/>
      <c r="G206" s="103"/>
    </row>
    <row r="207" ht="15.75" customHeight="1" spans="1:7">
      <c r="A207" s="82"/>
      <c r="B207" s="82"/>
      <c r="C207" s="82"/>
      <c r="D207" s="82"/>
      <c r="E207" s="82"/>
      <c r="F207" s="38"/>
      <c r="G207" s="103"/>
    </row>
    <row r="208" ht="15.75" customHeight="1" spans="1:7">
      <c r="A208" s="82"/>
      <c r="B208" s="82"/>
      <c r="C208" s="82"/>
      <c r="D208" s="82"/>
      <c r="E208" s="82"/>
      <c r="F208" s="38"/>
      <c r="G208" s="103"/>
    </row>
    <row r="209" ht="15.75" customHeight="1" spans="1:7">
      <c r="A209" s="82"/>
      <c r="B209" s="82"/>
      <c r="C209" s="82"/>
      <c r="D209" s="82"/>
      <c r="E209" s="82"/>
      <c r="F209" s="38"/>
      <c r="G209" s="103"/>
    </row>
    <row r="210" ht="15.75" customHeight="1" spans="1:7">
      <c r="A210" s="82"/>
      <c r="B210" s="82"/>
      <c r="C210" s="82"/>
      <c r="D210" s="82"/>
      <c r="E210" s="82"/>
      <c r="F210" s="38"/>
      <c r="G210" s="103"/>
    </row>
    <row r="211" ht="15.75" customHeight="1" spans="1:7">
      <c r="A211" s="82"/>
      <c r="B211" s="82"/>
      <c r="C211" s="82"/>
      <c r="D211" s="82"/>
      <c r="E211" s="82"/>
      <c r="F211" s="38"/>
      <c r="G211" s="103"/>
    </row>
    <row r="212" ht="15.75" customHeight="1" spans="1:7">
      <c r="A212" s="82"/>
      <c r="B212" s="82"/>
      <c r="C212" s="82"/>
      <c r="D212" s="82"/>
      <c r="E212" s="82"/>
      <c r="F212" s="38"/>
      <c r="G212" s="103"/>
    </row>
    <row r="213" ht="15.75" customHeight="1" spans="1:7">
      <c r="A213" s="82"/>
      <c r="B213" s="82"/>
      <c r="C213" s="82"/>
      <c r="D213" s="82"/>
      <c r="E213" s="82"/>
      <c r="F213" s="38"/>
      <c r="G213" s="103"/>
    </row>
    <row r="214" ht="15.75" customHeight="1" spans="1:7">
      <c r="A214" s="82"/>
      <c r="B214" s="82"/>
      <c r="C214" s="82"/>
      <c r="D214" s="82"/>
      <c r="E214" s="82"/>
      <c r="F214" s="38"/>
      <c r="G214" s="103"/>
    </row>
    <row r="215" ht="15.75" customHeight="1" spans="1:7">
      <c r="A215" s="82"/>
      <c r="B215" s="82"/>
      <c r="C215" s="82"/>
      <c r="D215" s="82"/>
      <c r="E215" s="82"/>
      <c r="F215" s="38"/>
      <c r="G215" s="103"/>
    </row>
    <row r="216" ht="15.75" customHeight="1" spans="1:7">
      <c r="A216" s="82"/>
      <c r="B216" s="82"/>
      <c r="C216" s="82"/>
      <c r="D216" s="82"/>
      <c r="E216" s="82"/>
      <c r="F216" s="38"/>
      <c r="G216" s="103"/>
    </row>
    <row r="217" ht="15.75" customHeight="1" spans="1:7">
      <c r="A217" s="82"/>
      <c r="B217" s="82"/>
      <c r="C217" s="82"/>
      <c r="D217" s="82"/>
      <c r="E217" s="82"/>
      <c r="F217" s="38"/>
      <c r="G217" s="103"/>
    </row>
    <row r="218" ht="15.75" customHeight="1" spans="1:7">
      <c r="A218" s="82"/>
      <c r="B218" s="82"/>
      <c r="C218" s="82"/>
      <c r="D218" s="82"/>
      <c r="E218" s="82"/>
      <c r="F218" s="38"/>
      <c r="G218" s="103"/>
    </row>
    <row r="219" ht="15.75" customHeight="1" spans="1:7">
      <c r="A219" s="82"/>
      <c r="B219" s="82"/>
      <c r="C219" s="82"/>
      <c r="D219" s="82"/>
      <c r="E219" s="82"/>
      <c r="F219" s="38"/>
      <c r="G219" s="103"/>
    </row>
    <row r="220" ht="15.75" customHeight="1" spans="1:7">
      <c r="A220" s="82"/>
      <c r="B220" s="82"/>
      <c r="C220" s="82"/>
      <c r="D220" s="82"/>
      <c r="E220" s="82"/>
      <c r="F220" s="38"/>
      <c r="G220" s="103"/>
    </row>
    <row r="221" ht="15.75" customHeight="1" spans="1:7">
      <c r="A221" s="82"/>
      <c r="B221" s="82"/>
      <c r="C221" s="82"/>
      <c r="D221" s="82"/>
      <c r="E221" s="82"/>
      <c r="F221" s="38"/>
      <c r="G221" s="10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1:AA1"/>
  </mergeCells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6"/>
  <sheetViews>
    <sheetView topLeftCell="A19" workbookViewId="0">
      <selection activeCell="A26" sqref="A26"/>
    </sheetView>
  </sheetViews>
  <sheetFormatPr defaultColWidth="12.6333333333333" defaultRowHeight="15" customHeight="1"/>
  <cols>
    <col min="1" max="1" width="15.75" customWidth="1"/>
    <col min="2" max="2" width="16.6333333333333" customWidth="1"/>
    <col min="3" max="3" width="16.3833333333333" customWidth="1"/>
    <col min="4" max="4" width="25.5" customWidth="1"/>
    <col min="5" max="5" width="34.5" customWidth="1"/>
    <col min="6" max="6" width="41.6333333333333" customWidth="1"/>
    <col min="7" max="7" width="127" customWidth="1"/>
    <col min="8" max="26" width="7.63333333333333" customWidth="1"/>
  </cols>
  <sheetData>
    <row r="1" ht="30" spans="1:1">
      <c r="A1" s="32" t="s">
        <v>130</v>
      </c>
    </row>
    <row r="2" ht="32.25" customHeight="1" spans="1:7">
      <c r="A2" s="70" t="s">
        <v>36</v>
      </c>
      <c r="B2" s="70" t="s">
        <v>131</v>
      </c>
      <c r="C2" s="70" t="s">
        <v>39</v>
      </c>
      <c r="D2" s="70" t="s">
        <v>40</v>
      </c>
      <c r="E2" s="71" t="s">
        <v>41</v>
      </c>
      <c r="F2" s="70" t="s">
        <v>42</v>
      </c>
      <c r="G2" s="70" t="s">
        <v>3</v>
      </c>
    </row>
    <row r="3" ht="96" customHeight="1" spans="1:26">
      <c r="A3" s="72" t="s">
        <v>43</v>
      </c>
      <c r="B3" s="72">
        <v>1.1</v>
      </c>
      <c r="C3" s="73" t="s">
        <v>45</v>
      </c>
      <c r="D3" s="72" t="s">
        <v>46</v>
      </c>
      <c r="E3" s="74" t="s">
        <v>47</v>
      </c>
      <c r="F3" s="75" t="s">
        <v>48</v>
      </c>
      <c r="G3" s="76" t="s">
        <v>132</v>
      </c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ht="66.75" customHeight="1" spans="1:7">
      <c r="A4" s="72" t="s">
        <v>43</v>
      </c>
      <c r="B4" s="72">
        <v>1.2</v>
      </c>
      <c r="C4" s="73" t="s">
        <v>45</v>
      </c>
      <c r="D4" s="72" t="s">
        <v>46</v>
      </c>
      <c r="E4" s="78" t="s">
        <v>63</v>
      </c>
      <c r="F4" s="79" t="s">
        <v>133</v>
      </c>
      <c r="G4" s="76" t="s">
        <v>134</v>
      </c>
    </row>
    <row r="5" ht="80.25" customHeight="1" spans="1:7">
      <c r="A5" s="72" t="s">
        <v>43</v>
      </c>
      <c r="B5" s="72">
        <v>1.3</v>
      </c>
      <c r="C5" s="73" t="s">
        <v>45</v>
      </c>
      <c r="D5" s="72" t="s">
        <v>46</v>
      </c>
      <c r="E5" s="74" t="s">
        <v>68</v>
      </c>
      <c r="F5" s="79" t="s">
        <v>135</v>
      </c>
      <c r="G5" s="76" t="s">
        <v>136</v>
      </c>
    </row>
    <row r="6" ht="147" customHeight="1" spans="1:7">
      <c r="A6" s="80" t="s">
        <v>43</v>
      </c>
      <c r="B6" s="80">
        <v>1.5</v>
      </c>
      <c r="C6" s="73" t="s">
        <v>45</v>
      </c>
      <c r="D6" s="72" t="s">
        <v>46</v>
      </c>
      <c r="E6" s="74" t="s">
        <v>79</v>
      </c>
      <c r="F6" s="75" t="s">
        <v>80</v>
      </c>
      <c r="G6" s="76" t="s">
        <v>137</v>
      </c>
    </row>
    <row r="7" ht="81.75" customHeight="1" spans="1:7">
      <c r="A7" s="80" t="s">
        <v>50</v>
      </c>
      <c r="B7" s="80">
        <v>2.3</v>
      </c>
      <c r="C7" s="73" t="s">
        <v>45</v>
      </c>
      <c r="D7" s="72" t="s">
        <v>46</v>
      </c>
      <c r="E7" s="74" t="s">
        <v>138</v>
      </c>
      <c r="F7" s="75" t="s">
        <v>139</v>
      </c>
      <c r="G7" s="76" t="s">
        <v>140</v>
      </c>
    </row>
    <row r="8" ht="77.25" customHeight="1" spans="1:7">
      <c r="A8" s="80" t="s">
        <v>50</v>
      </c>
      <c r="B8" s="80">
        <v>2.4</v>
      </c>
      <c r="C8" s="73" t="s">
        <v>45</v>
      </c>
      <c r="D8" s="72" t="s">
        <v>46</v>
      </c>
      <c r="E8" s="74" t="s">
        <v>73</v>
      </c>
      <c r="F8" s="75" t="s">
        <v>141</v>
      </c>
      <c r="G8" s="76" t="s">
        <v>142</v>
      </c>
    </row>
    <row r="9" ht="75" customHeight="1" spans="1:26">
      <c r="A9" s="80" t="s">
        <v>50</v>
      </c>
      <c r="B9" s="80">
        <v>2.5</v>
      </c>
      <c r="C9" s="73" t="s">
        <v>45</v>
      </c>
      <c r="D9" s="72" t="s">
        <v>46</v>
      </c>
      <c r="E9" s="74" t="s">
        <v>143</v>
      </c>
      <c r="F9" s="75" t="s">
        <v>144</v>
      </c>
      <c r="G9" s="76" t="s">
        <v>145</v>
      </c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73.5" customHeight="1" spans="1:26">
      <c r="A10" s="80" t="s">
        <v>56</v>
      </c>
      <c r="B10" s="80">
        <v>3.1</v>
      </c>
      <c r="C10" s="73" t="s">
        <v>45</v>
      </c>
      <c r="D10" s="72" t="s">
        <v>46</v>
      </c>
      <c r="E10" s="74" t="s">
        <v>124</v>
      </c>
      <c r="F10" s="75" t="s">
        <v>146</v>
      </c>
      <c r="G10" s="76" t="s">
        <v>147</v>
      </c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44.25" customHeight="1" spans="1:1">
      <c r="A11" s="82"/>
    </row>
    <row r="12" ht="118.5" customHeight="1" spans="1:7">
      <c r="A12" s="83" t="s">
        <v>43</v>
      </c>
      <c r="B12" s="84">
        <v>1.6</v>
      </c>
      <c r="C12" s="85" t="s">
        <v>78</v>
      </c>
      <c r="D12" s="83" t="s">
        <v>46</v>
      </c>
      <c r="E12" s="86" t="s">
        <v>53</v>
      </c>
      <c r="F12" s="87" t="s">
        <v>148</v>
      </c>
      <c r="G12" s="88" t="s">
        <v>149</v>
      </c>
    </row>
    <row r="13" ht="68.25" customHeight="1" spans="1:7">
      <c r="A13" s="84" t="s">
        <v>50</v>
      </c>
      <c r="B13" s="84">
        <v>2.1</v>
      </c>
      <c r="C13" s="85" t="s">
        <v>78</v>
      </c>
      <c r="D13" s="83" t="s">
        <v>46</v>
      </c>
      <c r="E13" s="89" t="s">
        <v>150</v>
      </c>
      <c r="F13" s="90" t="s">
        <v>151</v>
      </c>
      <c r="G13" s="88" t="s">
        <v>152</v>
      </c>
    </row>
    <row r="14" ht="72" customHeight="1" spans="1:7">
      <c r="A14" s="84" t="s">
        <v>56</v>
      </c>
      <c r="B14" s="84">
        <v>3.5</v>
      </c>
      <c r="C14" s="85" t="s">
        <v>78</v>
      </c>
      <c r="D14" s="83" t="s">
        <v>46</v>
      </c>
      <c r="E14" s="86" t="s">
        <v>84</v>
      </c>
      <c r="F14" s="87" t="s">
        <v>153</v>
      </c>
      <c r="G14" s="88" t="s">
        <v>154</v>
      </c>
    </row>
    <row r="15" ht="58.5" customHeight="1" spans="1:7">
      <c r="A15" s="83" t="s">
        <v>61</v>
      </c>
      <c r="B15" s="84">
        <v>4.1</v>
      </c>
      <c r="C15" s="85" t="s">
        <v>78</v>
      </c>
      <c r="D15" s="83" t="s">
        <v>46</v>
      </c>
      <c r="E15" s="86" t="s">
        <v>155</v>
      </c>
      <c r="F15" s="90" t="s">
        <v>90</v>
      </c>
      <c r="G15" s="88" t="s">
        <v>156</v>
      </c>
    </row>
    <row r="16" customFormat="1" ht="58.5" customHeight="1" spans="1:7">
      <c r="A16" s="83" t="s">
        <v>61</v>
      </c>
      <c r="B16" s="84">
        <v>4.1</v>
      </c>
      <c r="C16" s="85" t="s">
        <v>78</v>
      </c>
      <c r="D16" s="83" t="s">
        <v>46</v>
      </c>
      <c r="E16" s="86" t="s">
        <v>157</v>
      </c>
      <c r="F16" s="90" t="s">
        <v>158</v>
      </c>
      <c r="G16" s="88" t="s">
        <v>159</v>
      </c>
    </row>
    <row r="17" customFormat="1" ht="58.5" customHeight="1" spans="1:7">
      <c r="A17" s="83" t="s">
        <v>61</v>
      </c>
      <c r="B17" s="84">
        <v>4.1</v>
      </c>
      <c r="C17" s="85" t="s">
        <v>78</v>
      </c>
      <c r="D17" s="83" t="s">
        <v>46</v>
      </c>
      <c r="E17" s="86" t="s">
        <v>160</v>
      </c>
      <c r="F17" s="90" t="s">
        <v>161</v>
      </c>
      <c r="G17" s="88" t="s">
        <v>162</v>
      </c>
    </row>
    <row r="18" customFormat="1" ht="58.5" customHeight="1" spans="1:7">
      <c r="A18" s="83" t="s">
        <v>61</v>
      </c>
      <c r="B18" s="84">
        <v>4.1</v>
      </c>
      <c r="C18" s="85" t="s">
        <v>78</v>
      </c>
      <c r="D18" s="83" t="s">
        <v>46</v>
      </c>
      <c r="E18" s="86" t="s">
        <v>163</v>
      </c>
      <c r="F18" s="90" t="s">
        <v>164</v>
      </c>
      <c r="G18" s="88" t="s">
        <v>165</v>
      </c>
    </row>
    <row r="19" s="69" customFormat="1" ht="58.5" customHeight="1" spans="1:7">
      <c r="A19" s="91"/>
      <c r="B19" s="92"/>
      <c r="C19" s="93"/>
      <c r="D19" s="91"/>
      <c r="E19" s="94"/>
      <c r="F19" s="95"/>
      <c r="G19" s="96"/>
    </row>
    <row r="20" ht="102" customHeight="1" spans="1:26">
      <c r="A20" s="97" t="s">
        <v>43</v>
      </c>
      <c r="B20" s="97">
        <v>1.4</v>
      </c>
      <c r="C20" s="98" t="s">
        <v>52</v>
      </c>
      <c r="D20" s="97" t="s">
        <v>46</v>
      </c>
      <c r="E20" s="99" t="s">
        <v>166</v>
      </c>
      <c r="F20" s="100" t="s">
        <v>167</v>
      </c>
      <c r="G20" s="101" t="s">
        <v>168</v>
      </c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15.75" customHeight="1" spans="1:6">
      <c r="A21" s="82"/>
      <c r="B21" s="82"/>
      <c r="C21" s="82"/>
      <c r="D21" s="82"/>
      <c r="E21" s="38"/>
      <c r="F21" s="103"/>
    </row>
    <row r="22" ht="15.75" customHeight="1" spans="1:6">
      <c r="A22" s="82"/>
      <c r="B22" s="82"/>
      <c r="C22" s="82"/>
      <c r="D22" s="82"/>
      <c r="E22" s="38"/>
      <c r="F22" s="103"/>
    </row>
    <row r="23" ht="15.75" customHeight="1" spans="1:6">
      <c r="A23" s="82"/>
      <c r="B23" s="82"/>
      <c r="C23" s="82"/>
      <c r="D23" s="82"/>
      <c r="E23" s="38"/>
      <c r="F23" s="103"/>
    </row>
    <row r="24" ht="15.75" customHeight="1" spans="1:6">
      <c r="A24" s="82"/>
      <c r="B24" s="82"/>
      <c r="C24" s="82"/>
      <c r="D24" s="82"/>
      <c r="E24" s="38"/>
      <c r="F24" s="103"/>
    </row>
    <row r="25" ht="15.75" customHeight="1" spans="1:6">
      <c r="A25" s="82"/>
      <c r="B25" s="82"/>
      <c r="C25" s="82"/>
      <c r="D25" s="82"/>
      <c r="E25" s="38"/>
      <c r="F25" s="103"/>
    </row>
    <row r="26" ht="15.75" customHeight="1" spans="1:6">
      <c r="A26" s="82"/>
      <c r="B26" s="82"/>
      <c r="C26" s="82"/>
      <c r="D26" s="82"/>
      <c r="E26" s="38"/>
      <c r="F26" s="103"/>
    </row>
    <row r="27" ht="15.75" customHeight="1" spans="1:6">
      <c r="A27" s="82"/>
      <c r="B27" s="82"/>
      <c r="C27" s="82"/>
      <c r="D27" s="82"/>
      <c r="E27" s="38"/>
      <c r="F27" s="103"/>
    </row>
    <row r="28" ht="15.75" customHeight="1" spans="1:6">
      <c r="A28" s="82"/>
      <c r="B28" s="82"/>
      <c r="C28" s="82"/>
      <c r="D28" s="82"/>
      <c r="E28" s="38"/>
      <c r="F28" s="103"/>
    </row>
    <row r="29" ht="15.75" customHeight="1" spans="1:6">
      <c r="A29" s="82"/>
      <c r="B29" s="82"/>
      <c r="C29" s="82"/>
      <c r="D29" s="82"/>
      <c r="E29" s="38"/>
      <c r="F29" s="103"/>
    </row>
    <row r="30" ht="15.75" customHeight="1" spans="1:6">
      <c r="A30" s="82"/>
      <c r="B30" s="82"/>
      <c r="C30" s="82"/>
      <c r="D30" s="82"/>
      <c r="E30" s="38"/>
      <c r="F30" s="103"/>
    </row>
    <row r="31" ht="15.75" customHeight="1" spans="1:6">
      <c r="A31" s="82"/>
      <c r="B31" s="82"/>
      <c r="C31" s="82"/>
      <c r="D31" s="82"/>
      <c r="E31" s="38"/>
      <c r="F31" s="103"/>
    </row>
    <row r="32" ht="15.75" customHeight="1" spans="1:6">
      <c r="A32" s="82"/>
      <c r="B32" s="82"/>
      <c r="C32" s="82"/>
      <c r="D32" s="82"/>
      <c r="E32" s="38"/>
      <c r="F32" s="103"/>
    </row>
    <row r="33" ht="15.75" customHeight="1" spans="1:6">
      <c r="A33" s="82"/>
      <c r="B33" s="82"/>
      <c r="C33" s="82"/>
      <c r="D33" s="82"/>
      <c r="E33" s="38"/>
      <c r="F33" s="103"/>
    </row>
    <row r="34" ht="15.75" customHeight="1" spans="1:6">
      <c r="A34" s="82"/>
      <c r="B34" s="82"/>
      <c r="C34" s="82"/>
      <c r="D34" s="82"/>
      <c r="E34" s="38"/>
      <c r="F34" s="103"/>
    </row>
    <row r="35" ht="15.75" customHeight="1" spans="1:6">
      <c r="A35" s="82"/>
      <c r="B35" s="82"/>
      <c r="C35" s="82"/>
      <c r="D35" s="82"/>
      <c r="E35" s="38"/>
      <c r="F35" s="103"/>
    </row>
    <row r="36" ht="15.75" customHeight="1" spans="1:6">
      <c r="A36" s="82"/>
      <c r="B36" s="82"/>
      <c r="C36" s="82"/>
      <c r="D36" s="82"/>
      <c r="E36" s="38"/>
      <c r="F36" s="103"/>
    </row>
    <row r="37" ht="15.75" customHeight="1" spans="1:6">
      <c r="A37" s="82"/>
      <c r="B37" s="82"/>
      <c r="C37" s="82"/>
      <c r="D37" s="82"/>
      <c r="E37" s="38"/>
      <c r="F37" s="103"/>
    </row>
    <row r="38" ht="15.75" customHeight="1" spans="1:6">
      <c r="A38" s="82"/>
      <c r="B38" s="82"/>
      <c r="C38" s="82"/>
      <c r="D38" s="82"/>
      <c r="E38" s="38"/>
      <c r="F38" s="103"/>
    </row>
    <row r="39" ht="15.75" customHeight="1" spans="1:6">
      <c r="A39" s="82"/>
      <c r="B39" s="82"/>
      <c r="C39" s="82"/>
      <c r="D39" s="82"/>
      <c r="E39" s="38"/>
      <c r="F39" s="103"/>
    </row>
    <row r="40" ht="15.75" customHeight="1" spans="1:6">
      <c r="A40" s="82"/>
      <c r="B40" s="82"/>
      <c r="C40" s="82"/>
      <c r="D40" s="82"/>
      <c r="E40" s="38"/>
      <c r="F40" s="103"/>
    </row>
    <row r="41" ht="15.75" customHeight="1" spans="1:6">
      <c r="A41" s="82"/>
      <c r="B41" s="82"/>
      <c r="C41" s="82"/>
      <c r="D41" s="82"/>
      <c r="E41" s="38"/>
      <c r="F41" s="103"/>
    </row>
    <row r="42" ht="15.75" customHeight="1" spans="1:6">
      <c r="A42" s="82"/>
      <c r="B42" s="82"/>
      <c r="C42" s="82"/>
      <c r="D42" s="82"/>
      <c r="E42" s="38"/>
      <c r="F42" s="103"/>
    </row>
    <row r="43" ht="15.75" customHeight="1" spans="1:6">
      <c r="A43" s="82"/>
      <c r="B43" s="82"/>
      <c r="C43" s="82"/>
      <c r="D43" s="82"/>
      <c r="E43" s="38"/>
      <c r="F43" s="103"/>
    </row>
    <row r="44" ht="15.75" customHeight="1" spans="1:6">
      <c r="A44" s="82"/>
      <c r="B44" s="82"/>
      <c r="C44" s="82"/>
      <c r="D44" s="82"/>
      <c r="E44" s="38"/>
      <c r="F44" s="103"/>
    </row>
    <row r="45" ht="15.75" customHeight="1" spans="1:6">
      <c r="A45" s="82"/>
      <c r="B45" s="82"/>
      <c r="C45" s="82"/>
      <c r="D45" s="82"/>
      <c r="E45" s="38"/>
      <c r="F45" s="103"/>
    </row>
    <row r="46" ht="15.75" customHeight="1" spans="1:6">
      <c r="A46" s="82"/>
      <c r="B46" s="82"/>
      <c r="C46" s="82"/>
      <c r="D46" s="82"/>
      <c r="E46" s="38"/>
      <c r="F46" s="103"/>
    </row>
    <row r="47" ht="15.75" customHeight="1" spans="1:6">
      <c r="A47" s="82"/>
      <c r="B47" s="82"/>
      <c r="C47" s="82"/>
      <c r="D47" s="82"/>
      <c r="E47" s="38"/>
      <c r="F47" s="103"/>
    </row>
    <row r="48" ht="15.75" customHeight="1" spans="1:6">
      <c r="A48" s="82"/>
      <c r="B48" s="82"/>
      <c r="C48" s="82"/>
      <c r="D48" s="82"/>
      <c r="E48" s="38"/>
      <c r="F48" s="103"/>
    </row>
    <row r="49" ht="15.75" customHeight="1" spans="1:6">
      <c r="A49" s="82"/>
      <c r="B49" s="82"/>
      <c r="C49" s="82"/>
      <c r="D49" s="82"/>
      <c r="E49" s="38"/>
      <c r="F49" s="103"/>
    </row>
    <row r="50" ht="15.75" customHeight="1" spans="1:6">
      <c r="A50" s="82"/>
      <c r="B50" s="82"/>
      <c r="C50" s="82"/>
      <c r="D50" s="82"/>
      <c r="E50" s="38"/>
      <c r="F50" s="103"/>
    </row>
    <row r="51" ht="15.75" customHeight="1" spans="1:6">
      <c r="A51" s="82"/>
      <c r="B51" s="82"/>
      <c r="C51" s="82"/>
      <c r="D51" s="82"/>
      <c r="E51" s="38"/>
      <c r="F51" s="103"/>
    </row>
    <row r="52" ht="15.75" customHeight="1" spans="1:6">
      <c r="A52" s="82"/>
      <c r="B52" s="82"/>
      <c r="C52" s="82"/>
      <c r="D52" s="82"/>
      <c r="E52" s="38"/>
      <c r="F52" s="103"/>
    </row>
    <row r="53" ht="15.75" customHeight="1" spans="1:6">
      <c r="A53" s="82"/>
      <c r="B53" s="82"/>
      <c r="C53" s="82"/>
      <c r="D53" s="82"/>
      <c r="E53" s="38"/>
      <c r="F53" s="103"/>
    </row>
    <row r="54" ht="15.75" customHeight="1" spans="1:6">
      <c r="A54" s="82"/>
      <c r="B54" s="82"/>
      <c r="C54" s="82"/>
      <c r="D54" s="82"/>
      <c r="E54" s="38"/>
      <c r="F54" s="103"/>
    </row>
    <row r="55" ht="15.75" customHeight="1" spans="1:6">
      <c r="A55" s="82"/>
      <c r="B55" s="82"/>
      <c r="C55" s="82"/>
      <c r="D55" s="82"/>
      <c r="E55" s="38"/>
      <c r="F55" s="103"/>
    </row>
    <row r="56" ht="15.75" customHeight="1" spans="1:6">
      <c r="A56" s="82"/>
      <c r="B56" s="82"/>
      <c r="C56" s="82"/>
      <c r="D56" s="82"/>
      <c r="E56" s="38"/>
      <c r="F56" s="103"/>
    </row>
    <row r="57" ht="15.75" customHeight="1" spans="1:6">
      <c r="A57" s="82"/>
      <c r="B57" s="82"/>
      <c r="C57" s="82"/>
      <c r="D57" s="82"/>
      <c r="E57" s="38"/>
      <c r="F57" s="103"/>
    </row>
    <row r="58" ht="15.75" customHeight="1" spans="1:6">
      <c r="A58" s="82"/>
      <c r="B58" s="82"/>
      <c r="C58" s="82"/>
      <c r="D58" s="82"/>
      <c r="E58" s="38"/>
      <c r="F58" s="103"/>
    </row>
    <row r="59" ht="15.75" customHeight="1" spans="1:6">
      <c r="A59" s="82"/>
      <c r="B59" s="82"/>
      <c r="C59" s="82"/>
      <c r="D59" s="82"/>
      <c r="E59" s="38"/>
      <c r="F59" s="103"/>
    </row>
    <row r="60" ht="15.75" customHeight="1" spans="1:6">
      <c r="A60" s="82"/>
      <c r="B60" s="82"/>
      <c r="C60" s="82"/>
      <c r="D60" s="82"/>
      <c r="E60" s="38"/>
      <c r="F60" s="103"/>
    </row>
    <row r="61" ht="15.75" customHeight="1" spans="1:6">
      <c r="A61" s="82"/>
      <c r="B61" s="82"/>
      <c r="C61" s="82"/>
      <c r="D61" s="82"/>
      <c r="E61" s="38"/>
      <c r="F61" s="103"/>
    </row>
    <row r="62" ht="15.75" customHeight="1" spans="1:6">
      <c r="A62" s="82"/>
      <c r="B62" s="82"/>
      <c r="C62" s="82"/>
      <c r="D62" s="82"/>
      <c r="E62" s="38"/>
      <c r="F62" s="103"/>
    </row>
    <row r="63" ht="15.75" customHeight="1" spans="1:6">
      <c r="A63" s="82"/>
      <c r="B63" s="82"/>
      <c r="C63" s="82"/>
      <c r="D63" s="82"/>
      <c r="E63" s="38"/>
      <c r="F63" s="103"/>
    </row>
    <row r="64" ht="15.75" customHeight="1" spans="1:6">
      <c r="A64" s="82"/>
      <c r="B64" s="82"/>
      <c r="C64" s="82"/>
      <c r="D64" s="82"/>
      <c r="E64" s="38"/>
      <c r="F64" s="103"/>
    </row>
    <row r="65" ht="15.75" customHeight="1" spans="1:6">
      <c r="A65" s="82"/>
      <c r="B65" s="82"/>
      <c r="C65" s="82"/>
      <c r="D65" s="82"/>
      <c r="E65" s="38"/>
      <c r="F65" s="103"/>
    </row>
    <row r="66" ht="15.75" customHeight="1" spans="1:6">
      <c r="A66" s="82"/>
      <c r="B66" s="82"/>
      <c r="C66" s="82"/>
      <c r="D66" s="82"/>
      <c r="E66" s="38"/>
      <c r="F66" s="103"/>
    </row>
    <row r="67" ht="15.75" customHeight="1" spans="1:6">
      <c r="A67" s="82"/>
      <c r="B67" s="82"/>
      <c r="C67" s="82"/>
      <c r="D67" s="82"/>
      <c r="E67" s="38"/>
      <c r="F67" s="103"/>
    </row>
    <row r="68" ht="15.75" customHeight="1" spans="1:6">
      <c r="A68" s="82"/>
      <c r="B68" s="82"/>
      <c r="C68" s="82"/>
      <c r="D68" s="82"/>
      <c r="E68" s="38"/>
      <c r="F68" s="103"/>
    </row>
    <row r="69" ht="15.75" customHeight="1" spans="1:6">
      <c r="A69" s="82"/>
      <c r="B69" s="82"/>
      <c r="C69" s="82"/>
      <c r="D69" s="82"/>
      <c r="E69" s="38"/>
      <c r="F69" s="103"/>
    </row>
    <row r="70" ht="15.75" customHeight="1" spans="1:6">
      <c r="A70" s="82"/>
      <c r="B70" s="82"/>
      <c r="C70" s="82"/>
      <c r="D70" s="82"/>
      <c r="E70" s="38"/>
      <c r="F70" s="103"/>
    </row>
    <row r="71" ht="15.75" customHeight="1" spans="1:6">
      <c r="A71" s="82"/>
      <c r="B71" s="82"/>
      <c r="C71" s="82"/>
      <c r="D71" s="82"/>
      <c r="E71" s="38"/>
      <c r="F71" s="103"/>
    </row>
    <row r="72" ht="15.75" customHeight="1" spans="1:6">
      <c r="A72" s="82"/>
      <c r="B72" s="82"/>
      <c r="C72" s="82"/>
      <c r="D72" s="82"/>
      <c r="E72" s="38"/>
      <c r="F72" s="103"/>
    </row>
    <row r="73" ht="15.75" customHeight="1" spans="1:6">
      <c r="A73" s="82"/>
      <c r="B73" s="82"/>
      <c r="C73" s="82"/>
      <c r="D73" s="82"/>
      <c r="E73" s="38"/>
      <c r="F73" s="103"/>
    </row>
    <row r="74" ht="15.75" customHeight="1" spans="1:6">
      <c r="A74" s="82"/>
      <c r="B74" s="82"/>
      <c r="C74" s="82"/>
      <c r="D74" s="82"/>
      <c r="E74" s="38"/>
      <c r="F74" s="103"/>
    </row>
    <row r="75" ht="15.75" customHeight="1" spans="1:6">
      <c r="A75" s="82"/>
      <c r="B75" s="82"/>
      <c r="C75" s="82"/>
      <c r="D75" s="82"/>
      <c r="E75" s="38"/>
      <c r="F75" s="103"/>
    </row>
    <row r="76" ht="15.75" customHeight="1" spans="1:6">
      <c r="A76" s="82"/>
      <c r="B76" s="82"/>
      <c r="C76" s="82"/>
      <c r="D76" s="82"/>
      <c r="E76" s="38"/>
      <c r="F76" s="103"/>
    </row>
    <row r="77" ht="15.75" customHeight="1" spans="1:6">
      <c r="A77" s="82"/>
      <c r="B77" s="82"/>
      <c r="C77" s="82"/>
      <c r="D77" s="82"/>
      <c r="E77" s="38"/>
      <c r="F77" s="103"/>
    </row>
    <row r="78" ht="15.75" customHeight="1" spans="1:6">
      <c r="A78" s="82"/>
      <c r="B78" s="82"/>
      <c r="C78" s="82"/>
      <c r="D78" s="82"/>
      <c r="E78" s="38"/>
      <c r="F78" s="103"/>
    </row>
    <row r="79" ht="15.75" customHeight="1" spans="1:6">
      <c r="A79" s="82"/>
      <c r="B79" s="82"/>
      <c r="C79" s="82"/>
      <c r="D79" s="82"/>
      <c r="E79" s="38"/>
      <c r="F79" s="103"/>
    </row>
    <row r="80" ht="15.75" customHeight="1" spans="1:6">
      <c r="A80" s="82"/>
      <c r="B80" s="82"/>
      <c r="C80" s="82"/>
      <c r="D80" s="82"/>
      <c r="E80" s="38"/>
      <c r="F80" s="103"/>
    </row>
    <row r="81" ht="15.75" customHeight="1" spans="1:6">
      <c r="A81" s="82"/>
      <c r="B81" s="82"/>
      <c r="C81" s="82"/>
      <c r="D81" s="82"/>
      <c r="E81" s="38"/>
      <c r="F81" s="103"/>
    </row>
    <row r="82" ht="15.75" customHeight="1" spans="1:6">
      <c r="A82" s="82"/>
      <c r="B82" s="82"/>
      <c r="C82" s="82"/>
      <c r="D82" s="82"/>
      <c r="E82" s="38"/>
      <c r="F82" s="103"/>
    </row>
    <row r="83" ht="15.75" customHeight="1" spans="1:6">
      <c r="A83" s="82"/>
      <c r="B83" s="82"/>
      <c r="C83" s="82"/>
      <c r="D83" s="82"/>
      <c r="E83" s="38"/>
      <c r="F83" s="103"/>
    </row>
    <row r="84" ht="15.75" customHeight="1" spans="1:6">
      <c r="A84" s="82"/>
      <c r="B84" s="82"/>
      <c r="C84" s="82"/>
      <c r="D84" s="82"/>
      <c r="E84" s="38"/>
      <c r="F84" s="103"/>
    </row>
    <row r="85" ht="15.75" customHeight="1" spans="1:6">
      <c r="A85" s="82"/>
      <c r="B85" s="82"/>
      <c r="C85" s="82"/>
      <c r="D85" s="82"/>
      <c r="E85" s="38"/>
      <c r="F85" s="103"/>
    </row>
    <row r="86" ht="15.75" customHeight="1" spans="1:6">
      <c r="A86" s="82"/>
      <c r="B86" s="82"/>
      <c r="C86" s="82"/>
      <c r="D86" s="82"/>
      <c r="E86" s="38"/>
      <c r="F86" s="103"/>
    </row>
    <row r="87" ht="15.75" customHeight="1" spans="1:6">
      <c r="A87" s="82"/>
      <c r="B87" s="82"/>
      <c r="C87" s="82"/>
      <c r="D87" s="82"/>
      <c r="E87" s="38"/>
      <c r="F87" s="103"/>
    </row>
    <row r="88" ht="15.75" customHeight="1" spans="1:6">
      <c r="A88" s="82"/>
      <c r="B88" s="82"/>
      <c r="C88" s="82"/>
      <c r="D88" s="82"/>
      <c r="E88" s="38"/>
      <c r="F88" s="103"/>
    </row>
    <row r="89" ht="15.75" customHeight="1" spans="1:6">
      <c r="A89" s="82"/>
      <c r="B89" s="82"/>
      <c r="C89" s="82"/>
      <c r="D89" s="82"/>
      <c r="E89" s="38"/>
      <c r="F89" s="103"/>
    </row>
    <row r="90" ht="15.75" customHeight="1" spans="1:6">
      <c r="A90" s="82"/>
      <c r="B90" s="82"/>
      <c r="C90" s="82"/>
      <c r="D90" s="82"/>
      <c r="E90" s="38"/>
      <c r="F90" s="103"/>
    </row>
    <row r="91" ht="15.75" customHeight="1" spans="1:6">
      <c r="A91" s="82"/>
      <c r="B91" s="82"/>
      <c r="C91" s="82"/>
      <c r="D91" s="82"/>
      <c r="E91" s="38"/>
      <c r="F91" s="103"/>
    </row>
    <row r="92" ht="15.75" customHeight="1" spans="1:6">
      <c r="A92" s="82"/>
      <c r="B92" s="82"/>
      <c r="C92" s="82"/>
      <c r="D92" s="82"/>
      <c r="E92" s="38"/>
      <c r="F92" s="103"/>
    </row>
    <row r="93" ht="15.75" customHeight="1" spans="1:6">
      <c r="A93" s="82"/>
      <c r="B93" s="82"/>
      <c r="C93" s="82"/>
      <c r="D93" s="82"/>
      <c r="E93" s="38"/>
      <c r="F93" s="103"/>
    </row>
    <row r="94" ht="15.75" customHeight="1" spans="1:6">
      <c r="A94" s="82"/>
      <c r="B94" s="82"/>
      <c r="C94" s="82"/>
      <c r="D94" s="82"/>
      <c r="E94" s="38"/>
      <c r="F94" s="103"/>
    </row>
    <row r="95" ht="15.75" customHeight="1" spans="1:6">
      <c r="A95" s="82"/>
      <c r="B95" s="82"/>
      <c r="C95" s="82"/>
      <c r="D95" s="82"/>
      <c r="E95" s="38"/>
      <c r="F95" s="103"/>
    </row>
    <row r="96" ht="15.75" customHeight="1" spans="1:6">
      <c r="A96" s="82"/>
      <c r="B96" s="82"/>
      <c r="C96" s="82"/>
      <c r="D96" s="82"/>
      <c r="E96" s="38"/>
      <c r="F96" s="103"/>
    </row>
    <row r="97" ht="15.75" customHeight="1" spans="1:6">
      <c r="A97" s="82"/>
      <c r="B97" s="82"/>
      <c r="C97" s="82"/>
      <c r="D97" s="82"/>
      <c r="E97" s="38"/>
      <c r="F97" s="103"/>
    </row>
    <row r="98" ht="15.75" customHeight="1" spans="1:6">
      <c r="A98" s="82"/>
      <c r="B98" s="82"/>
      <c r="C98" s="82"/>
      <c r="D98" s="82"/>
      <c r="E98" s="38"/>
      <c r="F98" s="103"/>
    </row>
    <row r="99" ht="15.75" customHeight="1" spans="1:6">
      <c r="A99" s="82"/>
      <c r="B99" s="82"/>
      <c r="C99" s="82"/>
      <c r="D99" s="82"/>
      <c r="E99" s="38"/>
      <c r="F99" s="103"/>
    </row>
    <row r="100" ht="15.75" customHeight="1" spans="1:6">
      <c r="A100" s="82"/>
      <c r="B100" s="82"/>
      <c r="C100" s="82"/>
      <c r="D100" s="82"/>
      <c r="E100" s="38"/>
      <c r="F100" s="103"/>
    </row>
    <row r="101" ht="15.75" customHeight="1" spans="1:6">
      <c r="A101" s="82"/>
      <c r="B101" s="82"/>
      <c r="C101" s="82"/>
      <c r="D101" s="82"/>
      <c r="E101" s="38"/>
      <c r="F101" s="103"/>
    </row>
    <row r="102" ht="15.75" customHeight="1" spans="1:6">
      <c r="A102" s="82"/>
      <c r="B102" s="82"/>
      <c r="C102" s="82"/>
      <c r="D102" s="82"/>
      <c r="E102" s="38"/>
      <c r="F102" s="103"/>
    </row>
    <row r="103" ht="15.75" customHeight="1" spans="1:6">
      <c r="A103" s="82"/>
      <c r="B103" s="82"/>
      <c r="C103" s="82"/>
      <c r="D103" s="82"/>
      <c r="E103" s="38"/>
      <c r="F103" s="103"/>
    </row>
    <row r="104" ht="15.75" customHeight="1" spans="1:6">
      <c r="A104" s="82"/>
      <c r="B104" s="82"/>
      <c r="C104" s="82"/>
      <c r="D104" s="82"/>
      <c r="E104" s="38"/>
      <c r="F104" s="103"/>
    </row>
    <row r="105" ht="15.75" customHeight="1" spans="1:6">
      <c r="A105" s="82"/>
      <c r="B105" s="82"/>
      <c r="C105" s="82"/>
      <c r="D105" s="82"/>
      <c r="E105" s="38"/>
      <c r="F105" s="103"/>
    </row>
    <row r="106" ht="15.75" customHeight="1" spans="1:6">
      <c r="A106" s="82"/>
      <c r="B106" s="82"/>
      <c r="C106" s="82"/>
      <c r="D106" s="82"/>
      <c r="E106" s="38"/>
      <c r="F106" s="103"/>
    </row>
    <row r="107" ht="15.75" customHeight="1" spans="1:6">
      <c r="A107" s="82"/>
      <c r="B107" s="82"/>
      <c r="C107" s="82"/>
      <c r="D107" s="82"/>
      <c r="E107" s="38"/>
      <c r="F107" s="103"/>
    </row>
    <row r="108" ht="15.75" customHeight="1" spans="1:6">
      <c r="A108" s="82"/>
      <c r="B108" s="82"/>
      <c r="C108" s="82"/>
      <c r="D108" s="82"/>
      <c r="E108" s="38"/>
      <c r="F108" s="103"/>
    </row>
    <row r="109" ht="15.75" customHeight="1" spans="1:6">
      <c r="A109" s="82"/>
      <c r="B109" s="82"/>
      <c r="C109" s="82"/>
      <c r="D109" s="82"/>
      <c r="E109" s="38"/>
      <c r="F109" s="103"/>
    </row>
    <row r="110" ht="15.75" customHeight="1" spans="1:6">
      <c r="A110" s="82"/>
      <c r="B110" s="82"/>
      <c r="C110" s="82"/>
      <c r="D110" s="82"/>
      <c r="E110" s="38"/>
      <c r="F110" s="103"/>
    </row>
    <row r="111" ht="15.75" customHeight="1" spans="1:6">
      <c r="A111" s="82"/>
      <c r="B111" s="82"/>
      <c r="C111" s="82"/>
      <c r="D111" s="82"/>
      <c r="E111" s="38"/>
      <c r="F111" s="103"/>
    </row>
    <row r="112" ht="15.75" customHeight="1" spans="1:6">
      <c r="A112" s="82"/>
      <c r="B112" s="82"/>
      <c r="C112" s="82"/>
      <c r="D112" s="82"/>
      <c r="E112" s="38"/>
      <c r="F112" s="103"/>
    </row>
    <row r="113" ht="15.75" customHeight="1" spans="1:6">
      <c r="A113" s="82"/>
      <c r="B113" s="82"/>
      <c r="C113" s="82"/>
      <c r="D113" s="82"/>
      <c r="E113" s="38"/>
      <c r="F113" s="103"/>
    </row>
    <row r="114" ht="15.75" customHeight="1" spans="1:6">
      <c r="A114" s="82"/>
      <c r="B114" s="82"/>
      <c r="C114" s="82"/>
      <c r="D114" s="82"/>
      <c r="E114" s="38"/>
      <c r="F114" s="103"/>
    </row>
    <row r="115" ht="15.75" customHeight="1" spans="1:6">
      <c r="A115" s="82"/>
      <c r="B115" s="82"/>
      <c r="C115" s="82"/>
      <c r="D115" s="82"/>
      <c r="E115" s="38"/>
      <c r="F115" s="103"/>
    </row>
    <row r="116" ht="15.75" customHeight="1" spans="1:6">
      <c r="A116" s="82"/>
      <c r="B116" s="82"/>
      <c r="C116" s="82"/>
      <c r="D116" s="82"/>
      <c r="E116" s="38"/>
      <c r="F116" s="103"/>
    </row>
    <row r="117" ht="15.75" customHeight="1" spans="1:6">
      <c r="A117" s="82"/>
      <c r="B117" s="82"/>
      <c r="C117" s="82"/>
      <c r="D117" s="82"/>
      <c r="E117" s="38"/>
      <c r="F117" s="103"/>
    </row>
    <row r="118" ht="15.75" customHeight="1" spans="1:6">
      <c r="A118" s="82"/>
      <c r="B118" s="82"/>
      <c r="C118" s="82"/>
      <c r="D118" s="82"/>
      <c r="E118" s="38"/>
      <c r="F118" s="103"/>
    </row>
    <row r="119" ht="15.75" customHeight="1" spans="1:6">
      <c r="A119" s="82"/>
      <c r="B119" s="82"/>
      <c r="C119" s="82"/>
      <c r="D119" s="82"/>
      <c r="E119" s="38"/>
      <c r="F119" s="103"/>
    </row>
    <row r="120" ht="15.75" customHeight="1" spans="1:6">
      <c r="A120" s="82"/>
      <c r="B120" s="82"/>
      <c r="C120" s="82"/>
      <c r="D120" s="82"/>
      <c r="E120" s="38"/>
      <c r="F120" s="103"/>
    </row>
    <row r="121" ht="15.75" customHeight="1" spans="1:6">
      <c r="A121" s="82"/>
      <c r="B121" s="82"/>
      <c r="C121" s="82"/>
      <c r="D121" s="82"/>
      <c r="E121" s="38"/>
      <c r="F121" s="103"/>
    </row>
    <row r="122" ht="15.75" customHeight="1" spans="1:6">
      <c r="A122" s="82"/>
      <c r="B122" s="82"/>
      <c r="C122" s="82"/>
      <c r="D122" s="82"/>
      <c r="E122" s="38"/>
      <c r="F122" s="103"/>
    </row>
    <row r="123" ht="15.75" customHeight="1" spans="1:6">
      <c r="A123" s="82"/>
      <c r="B123" s="82"/>
      <c r="C123" s="82"/>
      <c r="D123" s="82"/>
      <c r="E123" s="38"/>
      <c r="F123" s="103"/>
    </row>
    <row r="124" ht="15.75" customHeight="1" spans="1:6">
      <c r="A124" s="82"/>
      <c r="B124" s="82"/>
      <c r="C124" s="82"/>
      <c r="D124" s="82"/>
      <c r="E124" s="38"/>
      <c r="F124" s="103"/>
    </row>
    <row r="125" ht="15.75" customHeight="1" spans="1:6">
      <c r="A125" s="82"/>
      <c r="B125" s="82"/>
      <c r="C125" s="82"/>
      <c r="D125" s="82"/>
      <c r="E125" s="38"/>
      <c r="F125" s="103"/>
    </row>
    <row r="126" ht="15.75" customHeight="1" spans="1:6">
      <c r="A126" s="82"/>
      <c r="B126" s="82"/>
      <c r="C126" s="82"/>
      <c r="D126" s="82"/>
      <c r="E126" s="38"/>
      <c r="F126" s="103"/>
    </row>
    <row r="127" ht="15.75" customHeight="1" spans="1:6">
      <c r="A127" s="82"/>
      <c r="B127" s="82"/>
      <c r="C127" s="82"/>
      <c r="D127" s="82"/>
      <c r="E127" s="38"/>
      <c r="F127" s="103"/>
    </row>
    <row r="128" ht="15.75" customHeight="1" spans="1:6">
      <c r="A128" s="82"/>
      <c r="B128" s="82"/>
      <c r="C128" s="82"/>
      <c r="D128" s="82"/>
      <c r="E128" s="38"/>
      <c r="F128" s="103"/>
    </row>
    <row r="129" ht="15.75" customHeight="1" spans="1:6">
      <c r="A129" s="82"/>
      <c r="B129" s="82"/>
      <c r="C129" s="82"/>
      <c r="D129" s="82"/>
      <c r="E129" s="38"/>
      <c r="F129" s="103"/>
    </row>
    <row r="130" ht="15.75" customHeight="1" spans="1:6">
      <c r="A130" s="82"/>
      <c r="B130" s="82"/>
      <c r="C130" s="82"/>
      <c r="D130" s="82"/>
      <c r="E130" s="38"/>
      <c r="F130" s="103"/>
    </row>
    <row r="131" ht="15.75" customHeight="1" spans="1:6">
      <c r="A131" s="82"/>
      <c r="B131" s="82"/>
      <c r="C131" s="82"/>
      <c r="D131" s="82"/>
      <c r="E131" s="38"/>
      <c r="F131" s="103"/>
    </row>
    <row r="132" ht="15.75" customHeight="1" spans="1:6">
      <c r="A132" s="82"/>
      <c r="B132" s="82"/>
      <c r="C132" s="82"/>
      <c r="D132" s="82"/>
      <c r="E132" s="38"/>
      <c r="F132" s="103"/>
    </row>
    <row r="133" ht="15.75" customHeight="1" spans="1:6">
      <c r="A133" s="82"/>
      <c r="B133" s="82"/>
      <c r="C133" s="82"/>
      <c r="D133" s="82"/>
      <c r="E133" s="38"/>
      <c r="F133" s="103"/>
    </row>
    <row r="134" ht="15.75" customHeight="1" spans="1:6">
      <c r="A134" s="82"/>
      <c r="B134" s="82"/>
      <c r="C134" s="82"/>
      <c r="D134" s="82"/>
      <c r="E134" s="38"/>
      <c r="F134" s="103"/>
    </row>
    <row r="135" ht="15.75" customHeight="1" spans="1:6">
      <c r="A135" s="82"/>
      <c r="B135" s="82"/>
      <c r="C135" s="82"/>
      <c r="D135" s="82"/>
      <c r="E135" s="38"/>
      <c r="F135" s="103"/>
    </row>
    <row r="136" ht="15.75" customHeight="1" spans="1:6">
      <c r="A136" s="82"/>
      <c r="B136" s="82"/>
      <c r="C136" s="82"/>
      <c r="D136" s="82"/>
      <c r="E136" s="38"/>
      <c r="F136" s="103"/>
    </row>
    <row r="137" ht="15.75" customHeight="1" spans="1:6">
      <c r="A137" s="82"/>
      <c r="B137" s="82"/>
      <c r="C137" s="82"/>
      <c r="D137" s="82"/>
      <c r="E137" s="38"/>
      <c r="F137" s="103"/>
    </row>
    <row r="138" ht="15.75" customHeight="1" spans="1:6">
      <c r="A138" s="82"/>
      <c r="B138" s="82"/>
      <c r="C138" s="82"/>
      <c r="D138" s="82"/>
      <c r="E138" s="38"/>
      <c r="F138" s="103"/>
    </row>
    <row r="139" ht="15.75" customHeight="1" spans="1:6">
      <c r="A139" s="82"/>
      <c r="B139" s="82"/>
      <c r="C139" s="82"/>
      <c r="D139" s="82"/>
      <c r="E139" s="38"/>
      <c r="F139" s="103"/>
    </row>
    <row r="140" ht="15.75" customHeight="1" spans="1:6">
      <c r="A140" s="82"/>
      <c r="B140" s="82"/>
      <c r="C140" s="82"/>
      <c r="D140" s="82"/>
      <c r="E140" s="38"/>
      <c r="F140" s="103"/>
    </row>
    <row r="141" ht="15.75" customHeight="1" spans="1:6">
      <c r="A141" s="82"/>
      <c r="B141" s="82"/>
      <c r="C141" s="82"/>
      <c r="D141" s="82"/>
      <c r="E141" s="38"/>
      <c r="F141" s="103"/>
    </row>
    <row r="142" ht="15.75" customHeight="1" spans="1:6">
      <c r="A142" s="82"/>
      <c r="B142" s="82"/>
      <c r="C142" s="82"/>
      <c r="D142" s="82"/>
      <c r="E142" s="38"/>
      <c r="F142" s="103"/>
    </row>
    <row r="143" ht="15.75" customHeight="1" spans="1:6">
      <c r="A143" s="82"/>
      <c r="B143" s="82"/>
      <c r="C143" s="82"/>
      <c r="D143" s="82"/>
      <c r="E143" s="38"/>
      <c r="F143" s="103"/>
    </row>
    <row r="144" ht="15.75" customHeight="1" spans="1:6">
      <c r="A144" s="82"/>
      <c r="B144" s="82"/>
      <c r="C144" s="82"/>
      <c r="D144" s="82"/>
      <c r="E144" s="38"/>
      <c r="F144" s="103"/>
    </row>
    <row r="145" ht="15.75" customHeight="1" spans="1:6">
      <c r="A145" s="82"/>
      <c r="B145" s="82"/>
      <c r="C145" s="82"/>
      <c r="D145" s="82"/>
      <c r="E145" s="38"/>
      <c r="F145" s="103"/>
    </row>
    <row r="146" ht="15.75" customHeight="1" spans="1:6">
      <c r="A146" s="82"/>
      <c r="B146" s="82"/>
      <c r="C146" s="82"/>
      <c r="D146" s="82"/>
      <c r="E146" s="38"/>
      <c r="F146" s="103"/>
    </row>
    <row r="147" ht="15.75" customHeight="1" spans="1:6">
      <c r="A147" s="82"/>
      <c r="B147" s="82"/>
      <c r="C147" s="82"/>
      <c r="D147" s="82"/>
      <c r="E147" s="38"/>
      <c r="F147" s="103"/>
    </row>
    <row r="148" ht="15.75" customHeight="1" spans="1:6">
      <c r="A148" s="82"/>
      <c r="B148" s="82"/>
      <c r="C148" s="82"/>
      <c r="D148" s="82"/>
      <c r="E148" s="38"/>
      <c r="F148" s="103"/>
    </row>
    <row r="149" ht="15.75" customHeight="1" spans="1:6">
      <c r="A149" s="82"/>
      <c r="B149" s="82"/>
      <c r="C149" s="82"/>
      <c r="D149" s="82"/>
      <c r="E149" s="38"/>
      <c r="F149" s="103"/>
    </row>
    <row r="150" ht="15.75" customHeight="1" spans="1:6">
      <c r="A150" s="82"/>
      <c r="B150" s="82"/>
      <c r="C150" s="82"/>
      <c r="D150" s="82"/>
      <c r="E150" s="38"/>
      <c r="F150" s="103"/>
    </row>
    <row r="151" ht="15.75" customHeight="1" spans="1:6">
      <c r="A151" s="82"/>
      <c r="B151" s="82"/>
      <c r="C151" s="82"/>
      <c r="D151" s="82"/>
      <c r="E151" s="38"/>
      <c r="F151" s="103"/>
    </row>
    <row r="152" ht="15.75" customHeight="1" spans="1:6">
      <c r="A152" s="82"/>
      <c r="B152" s="82"/>
      <c r="C152" s="82"/>
      <c r="D152" s="82"/>
      <c r="E152" s="38"/>
      <c r="F152" s="103"/>
    </row>
    <row r="153" ht="15.75" customHeight="1" spans="1:6">
      <c r="A153" s="82"/>
      <c r="B153" s="82"/>
      <c r="C153" s="82"/>
      <c r="D153" s="82"/>
      <c r="E153" s="38"/>
      <c r="F153" s="103"/>
    </row>
    <row r="154" ht="15.75" customHeight="1" spans="1:6">
      <c r="A154" s="82"/>
      <c r="B154" s="82"/>
      <c r="C154" s="82"/>
      <c r="D154" s="82"/>
      <c r="E154" s="38"/>
      <c r="F154" s="103"/>
    </row>
    <row r="155" ht="15.75" customHeight="1" spans="1:6">
      <c r="A155" s="82"/>
      <c r="B155" s="82"/>
      <c r="C155" s="82"/>
      <c r="D155" s="82"/>
      <c r="E155" s="38"/>
      <c r="F155" s="103"/>
    </row>
    <row r="156" ht="15.75" customHeight="1" spans="1:6">
      <c r="A156" s="82"/>
      <c r="B156" s="82"/>
      <c r="C156" s="82"/>
      <c r="D156" s="82"/>
      <c r="E156" s="38"/>
      <c r="F156" s="103"/>
    </row>
    <row r="157" ht="15.75" customHeight="1" spans="1:6">
      <c r="A157" s="82"/>
      <c r="B157" s="82"/>
      <c r="C157" s="82"/>
      <c r="D157" s="82"/>
      <c r="E157" s="38"/>
      <c r="F157" s="103"/>
    </row>
    <row r="158" ht="15.75" customHeight="1" spans="1:6">
      <c r="A158" s="82"/>
      <c r="B158" s="82"/>
      <c r="C158" s="82"/>
      <c r="D158" s="82"/>
      <c r="E158" s="38"/>
      <c r="F158" s="103"/>
    </row>
    <row r="159" ht="15.75" customHeight="1" spans="1:6">
      <c r="A159" s="82"/>
      <c r="B159" s="82"/>
      <c r="C159" s="82"/>
      <c r="D159" s="82"/>
      <c r="E159" s="38"/>
      <c r="F159" s="103"/>
    </row>
    <row r="160" ht="15.75" customHeight="1" spans="1:6">
      <c r="A160" s="82"/>
      <c r="B160" s="82"/>
      <c r="C160" s="82"/>
      <c r="D160" s="82"/>
      <c r="E160" s="38"/>
      <c r="F160" s="103"/>
    </row>
    <row r="161" ht="15.75" customHeight="1" spans="1:6">
      <c r="A161" s="82"/>
      <c r="B161" s="82"/>
      <c r="C161" s="82"/>
      <c r="D161" s="82"/>
      <c r="E161" s="38"/>
      <c r="F161" s="103"/>
    </row>
    <row r="162" ht="15.75" customHeight="1" spans="1:6">
      <c r="A162" s="82"/>
      <c r="B162" s="82"/>
      <c r="C162" s="82"/>
      <c r="D162" s="82"/>
      <c r="E162" s="38"/>
      <c r="F162" s="103"/>
    </row>
    <row r="163" ht="15.75" customHeight="1" spans="1:6">
      <c r="A163" s="82"/>
      <c r="B163" s="82"/>
      <c r="C163" s="82"/>
      <c r="D163" s="82"/>
      <c r="E163" s="38"/>
      <c r="F163" s="103"/>
    </row>
    <row r="164" ht="15.75" customHeight="1" spans="1:6">
      <c r="A164" s="82"/>
      <c r="B164" s="82"/>
      <c r="C164" s="82"/>
      <c r="D164" s="82"/>
      <c r="E164" s="38"/>
      <c r="F164" s="103"/>
    </row>
    <row r="165" ht="15.75" customHeight="1" spans="1:6">
      <c r="A165" s="82"/>
      <c r="B165" s="82"/>
      <c r="C165" s="82"/>
      <c r="D165" s="82"/>
      <c r="E165" s="38"/>
      <c r="F165" s="103"/>
    </row>
    <row r="166" ht="15.75" customHeight="1" spans="1:6">
      <c r="A166" s="82"/>
      <c r="B166" s="82"/>
      <c r="C166" s="82"/>
      <c r="D166" s="82"/>
      <c r="E166" s="38"/>
      <c r="F166" s="103"/>
    </row>
    <row r="167" ht="15.75" customHeight="1" spans="1:6">
      <c r="A167" s="82"/>
      <c r="B167" s="82"/>
      <c r="C167" s="82"/>
      <c r="D167" s="82"/>
      <c r="E167" s="38"/>
      <c r="F167" s="103"/>
    </row>
    <row r="168" ht="15.75" customHeight="1" spans="1:6">
      <c r="A168" s="82"/>
      <c r="B168" s="82"/>
      <c r="C168" s="82"/>
      <c r="D168" s="82"/>
      <c r="E168" s="38"/>
      <c r="F168" s="103"/>
    </row>
    <row r="169" ht="15.75" customHeight="1" spans="1:6">
      <c r="A169" s="82"/>
      <c r="B169" s="82"/>
      <c r="C169" s="82"/>
      <c r="D169" s="82"/>
      <c r="E169" s="38"/>
      <c r="F169" s="103"/>
    </row>
    <row r="170" ht="15.75" customHeight="1" spans="1:6">
      <c r="A170" s="82"/>
      <c r="B170" s="82"/>
      <c r="C170" s="82"/>
      <c r="D170" s="82"/>
      <c r="E170" s="38"/>
      <c r="F170" s="103"/>
    </row>
    <row r="171" ht="15.75" customHeight="1" spans="1:6">
      <c r="A171" s="82"/>
      <c r="B171" s="82"/>
      <c r="C171" s="82"/>
      <c r="D171" s="82"/>
      <c r="E171" s="38"/>
      <c r="F171" s="103"/>
    </row>
    <row r="172" ht="15.75" customHeight="1" spans="1:6">
      <c r="A172" s="82"/>
      <c r="B172" s="82"/>
      <c r="C172" s="82"/>
      <c r="D172" s="82"/>
      <c r="E172" s="38"/>
      <c r="F172" s="103"/>
    </row>
    <row r="173" ht="15.75" customHeight="1" spans="1:6">
      <c r="A173" s="82"/>
      <c r="B173" s="82"/>
      <c r="C173" s="82"/>
      <c r="D173" s="82"/>
      <c r="E173" s="38"/>
      <c r="F173" s="103"/>
    </row>
    <row r="174" ht="15.75" customHeight="1" spans="1:6">
      <c r="A174" s="82"/>
      <c r="B174" s="82"/>
      <c r="C174" s="82"/>
      <c r="D174" s="82"/>
      <c r="E174" s="38"/>
      <c r="F174" s="103"/>
    </row>
    <row r="175" ht="15.75" customHeight="1" spans="1:6">
      <c r="A175" s="82"/>
      <c r="B175" s="82"/>
      <c r="C175" s="82"/>
      <c r="D175" s="82"/>
      <c r="E175" s="38"/>
      <c r="F175" s="103"/>
    </row>
    <row r="176" ht="15.75" customHeight="1" spans="1:6">
      <c r="A176" s="82"/>
      <c r="B176" s="82"/>
      <c r="C176" s="82"/>
      <c r="D176" s="82"/>
      <c r="E176" s="38"/>
      <c r="F176" s="103"/>
    </row>
    <row r="177" ht="15.75" customHeight="1" spans="1:6">
      <c r="A177" s="82"/>
      <c r="B177" s="82"/>
      <c r="C177" s="82"/>
      <c r="D177" s="82"/>
      <c r="E177" s="38"/>
      <c r="F177" s="103"/>
    </row>
    <row r="178" ht="15.75" customHeight="1" spans="1:6">
      <c r="A178" s="82"/>
      <c r="B178" s="82"/>
      <c r="C178" s="82"/>
      <c r="D178" s="82"/>
      <c r="E178" s="38"/>
      <c r="F178" s="103"/>
    </row>
    <row r="179" ht="15.75" customHeight="1" spans="1:6">
      <c r="A179" s="82"/>
      <c r="B179" s="82"/>
      <c r="C179" s="82"/>
      <c r="D179" s="82"/>
      <c r="E179" s="38"/>
      <c r="F179" s="103"/>
    </row>
    <row r="180" ht="15.75" customHeight="1" spans="1:6">
      <c r="A180" s="82"/>
      <c r="B180" s="82"/>
      <c r="C180" s="82"/>
      <c r="D180" s="82"/>
      <c r="E180" s="38"/>
      <c r="F180" s="103"/>
    </row>
    <row r="181" ht="15.75" customHeight="1" spans="1:6">
      <c r="A181" s="82"/>
      <c r="B181" s="82"/>
      <c r="C181" s="82"/>
      <c r="D181" s="82"/>
      <c r="E181" s="38"/>
      <c r="F181" s="103"/>
    </row>
    <row r="182" ht="15.75" customHeight="1" spans="1:6">
      <c r="A182" s="82"/>
      <c r="B182" s="82"/>
      <c r="C182" s="82"/>
      <c r="D182" s="82"/>
      <c r="E182" s="38"/>
      <c r="F182" s="103"/>
    </row>
    <row r="183" ht="15.75" customHeight="1" spans="1:6">
      <c r="A183" s="82"/>
      <c r="B183" s="82"/>
      <c r="C183" s="82"/>
      <c r="D183" s="82"/>
      <c r="E183" s="38"/>
      <c r="F183" s="103"/>
    </row>
    <row r="184" ht="15.75" customHeight="1" spans="1:6">
      <c r="A184" s="82"/>
      <c r="B184" s="82"/>
      <c r="C184" s="82"/>
      <c r="D184" s="82"/>
      <c r="E184" s="38"/>
      <c r="F184" s="103"/>
    </row>
    <row r="185" ht="15.75" customHeight="1" spans="1:6">
      <c r="A185" s="82"/>
      <c r="B185" s="82"/>
      <c r="C185" s="82"/>
      <c r="D185" s="82"/>
      <c r="E185" s="38"/>
      <c r="F185" s="103"/>
    </row>
    <row r="186" ht="15.75" customHeight="1" spans="1:6">
      <c r="A186" s="82"/>
      <c r="B186" s="82"/>
      <c r="C186" s="82"/>
      <c r="D186" s="82"/>
      <c r="E186" s="38"/>
      <c r="F186" s="103"/>
    </row>
    <row r="187" ht="15.75" customHeight="1" spans="1:6">
      <c r="A187" s="82"/>
      <c r="B187" s="82"/>
      <c r="C187" s="82"/>
      <c r="D187" s="82"/>
      <c r="E187" s="38"/>
      <c r="F187" s="103"/>
    </row>
    <row r="188" ht="15.75" customHeight="1" spans="1:6">
      <c r="A188" s="82"/>
      <c r="B188" s="82"/>
      <c r="C188" s="82"/>
      <c r="D188" s="82"/>
      <c r="E188" s="38"/>
      <c r="F188" s="103"/>
    </row>
    <row r="189" ht="15.75" customHeight="1" spans="1:6">
      <c r="A189" s="82"/>
      <c r="B189" s="82"/>
      <c r="C189" s="82"/>
      <c r="D189" s="82"/>
      <c r="E189" s="38"/>
      <c r="F189" s="103"/>
    </row>
    <row r="190" ht="15.75" customHeight="1" spans="1:6">
      <c r="A190" s="82"/>
      <c r="B190" s="82"/>
      <c r="C190" s="82"/>
      <c r="D190" s="82"/>
      <c r="E190" s="38"/>
      <c r="F190" s="103"/>
    </row>
    <row r="191" ht="15.75" customHeight="1" spans="1:6">
      <c r="A191" s="82"/>
      <c r="B191" s="82"/>
      <c r="C191" s="82"/>
      <c r="D191" s="82"/>
      <c r="E191" s="38"/>
      <c r="F191" s="103"/>
    </row>
    <row r="192" ht="15.75" customHeight="1" spans="1:6">
      <c r="A192" s="82"/>
      <c r="B192" s="82"/>
      <c r="C192" s="82"/>
      <c r="D192" s="82"/>
      <c r="E192" s="38"/>
      <c r="F192" s="103"/>
    </row>
    <row r="193" ht="15.75" customHeight="1" spans="1:6">
      <c r="A193" s="82"/>
      <c r="B193" s="82"/>
      <c r="C193" s="82"/>
      <c r="D193" s="82"/>
      <c r="E193" s="38"/>
      <c r="F193" s="103"/>
    </row>
    <row r="194" ht="15.75" customHeight="1" spans="1:6">
      <c r="A194" s="82"/>
      <c r="B194" s="82"/>
      <c r="C194" s="82"/>
      <c r="D194" s="82"/>
      <c r="E194" s="38"/>
      <c r="F194" s="103"/>
    </row>
    <row r="195" ht="15.75" customHeight="1" spans="1:6">
      <c r="A195" s="82"/>
      <c r="B195" s="82"/>
      <c r="C195" s="82"/>
      <c r="D195" s="82"/>
      <c r="E195" s="38"/>
      <c r="F195" s="103"/>
    </row>
    <row r="196" ht="15.75" customHeight="1" spans="1:6">
      <c r="A196" s="82"/>
      <c r="B196" s="82"/>
      <c r="C196" s="82"/>
      <c r="D196" s="82"/>
      <c r="E196" s="38"/>
      <c r="F196" s="103"/>
    </row>
    <row r="197" ht="15.75" customHeight="1" spans="1:6">
      <c r="A197" s="82"/>
      <c r="B197" s="82"/>
      <c r="C197" s="82"/>
      <c r="D197" s="82"/>
      <c r="E197" s="38"/>
      <c r="F197" s="103"/>
    </row>
    <row r="198" ht="15.75" customHeight="1" spans="1:6">
      <c r="A198" s="82"/>
      <c r="B198" s="82"/>
      <c r="C198" s="82"/>
      <c r="D198" s="82"/>
      <c r="E198" s="38"/>
      <c r="F198" s="103"/>
    </row>
    <row r="199" ht="15.75" customHeight="1" spans="1:6">
      <c r="A199" s="82"/>
      <c r="B199" s="82"/>
      <c r="C199" s="82"/>
      <c r="D199" s="82"/>
      <c r="E199" s="38"/>
      <c r="F199" s="103"/>
    </row>
    <row r="200" ht="15.75" customHeight="1" spans="1:6">
      <c r="A200" s="82"/>
      <c r="B200" s="82"/>
      <c r="C200" s="82"/>
      <c r="D200" s="82"/>
      <c r="E200" s="38"/>
      <c r="F200" s="103"/>
    </row>
    <row r="201" ht="15.75" customHeight="1" spans="1:6">
      <c r="A201" s="82"/>
      <c r="B201" s="82"/>
      <c r="C201" s="82"/>
      <c r="D201" s="82"/>
      <c r="E201" s="38"/>
      <c r="F201" s="103"/>
    </row>
    <row r="202" ht="15.75" customHeight="1" spans="1:6">
      <c r="A202" s="82"/>
      <c r="B202" s="82"/>
      <c r="C202" s="82"/>
      <c r="D202" s="82"/>
      <c r="E202" s="38"/>
      <c r="F202" s="103"/>
    </row>
    <row r="203" ht="15.75" customHeight="1" spans="1:6">
      <c r="A203" s="82"/>
      <c r="B203" s="82"/>
      <c r="C203" s="82"/>
      <c r="D203" s="82"/>
      <c r="E203" s="38"/>
      <c r="F203" s="103"/>
    </row>
    <row r="204" ht="15.75" customHeight="1" spans="1:6">
      <c r="A204" s="82"/>
      <c r="B204" s="82"/>
      <c r="C204" s="82"/>
      <c r="D204" s="82"/>
      <c r="E204" s="38"/>
      <c r="F204" s="103"/>
    </row>
    <row r="205" ht="15.75" customHeight="1" spans="1:6">
      <c r="A205" s="82"/>
      <c r="B205" s="82"/>
      <c r="C205" s="82"/>
      <c r="D205" s="82"/>
      <c r="E205" s="38"/>
      <c r="F205" s="103"/>
    </row>
    <row r="206" ht="15.75" customHeight="1" spans="1:6">
      <c r="A206" s="82"/>
      <c r="B206" s="82"/>
      <c r="C206" s="82"/>
      <c r="D206" s="82"/>
      <c r="E206" s="38"/>
      <c r="F206" s="103"/>
    </row>
    <row r="207" ht="15.75" customHeight="1" spans="1:6">
      <c r="A207" s="82"/>
      <c r="B207" s="82"/>
      <c r="C207" s="82"/>
      <c r="D207" s="82"/>
      <c r="E207" s="38"/>
      <c r="F207" s="103"/>
    </row>
    <row r="208" ht="15.75" customHeight="1" spans="1:6">
      <c r="A208" s="82"/>
      <c r="B208" s="82"/>
      <c r="C208" s="82"/>
      <c r="D208" s="82"/>
      <c r="E208" s="38"/>
      <c r="F208" s="103"/>
    </row>
    <row r="209" ht="15.75" customHeight="1" spans="1:6">
      <c r="A209" s="82"/>
      <c r="B209" s="82"/>
      <c r="C209" s="82"/>
      <c r="D209" s="82"/>
      <c r="E209" s="38"/>
      <c r="F209" s="103"/>
    </row>
    <row r="210" ht="15.75" customHeight="1" spans="1:6">
      <c r="A210" s="82"/>
      <c r="B210" s="82"/>
      <c r="C210" s="82"/>
      <c r="D210" s="82"/>
      <c r="E210" s="38"/>
      <c r="F210" s="103"/>
    </row>
    <row r="211" ht="15.75" customHeight="1" spans="1:6">
      <c r="A211" s="82"/>
      <c r="B211" s="82"/>
      <c r="C211" s="82"/>
      <c r="D211" s="82"/>
      <c r="E211" s="38"/>
      <c r="F211" s="103"/>
    </row>
    <row r="212" ht="15.75" customHeight="1" spans="1:6">
      <c r="A212" s="82"/>
      <c r="B212" s="82"/>
      <c r="C212" s="82"/>
      <c r="D212" s="82"/>
      <c r="E212" s="38"/>
      <c r="F212" s="103"/>
    </row>
    <row r="213" ht="15.75" customHeight="1" spans="1:6">
      <c r="A213" s="82"/>
      <c r="B213" s="82"/>
      <c r="C213" s="82"/>
      <c r="D213" s="82"/>
      <c r="E213" s="38"/>
      <c r="F213" s="103"/>
    </row>
    <row r="214" ht="15.75" customHeight="1" spans="1:6">
      <c r="A214" s="82"/>
      <c r="B214" s="82"/>
      <c r="C214" s="82"/>
      <c r="D214" s="82"/>
      <c r="E214" s="38"/>
      <c r="F214" s="103"/>
    </row>
    <row r="215" ht="15.75" customHeight="1" spans="1:6">
      <c r="A215" s="82"/>
      <c r="B215" s="82"/>
      <c r="C215" s="82"/>
      <c r="D215" s="82"/>
      <c r="E215" s="38"/>
      <c r="F215" s="103"/>
    </row>
    <row r="216" ht="15.75" customHeight="1" spans="1:6">
      <c r="A216" s="82"/>
      <c r="B216" s="82"/>
      <c r="C216" s="82"/>
      <c r="D216" s="82"/>
      <c r="E216" s="38"/>
      <c r="F216" s="103"/>
    </row>
    <row r="217" ht="15.75" customHeight="1" spans="1:6">
      <c r="A217" s="82"/>
      <c r="B217" s="82"/>
      <c r="C217" s="82"/>
      <c r="D217" s="82"/>
      <c r="E217" s="38"/>
      <c r="F217" s="103"/>
    </row>
    <row r="218" ht="15.75" customHeight="1" spans="1:6">
      <c r="A218" s="82"/>
      <c r="B218" s="82"/>
      <c r="C218" s="82"/>
      <c r="D218" s="82"/>
      <c r="E218" s="38"/>
      <c r="F218" s="103"/>
    </row>
    <row r="219" ht="15.75" customHeight="1" spans="1:6">
      <c r="A219" s="82"/>
      <c r="B219" s="82"/>
      <c r="C219" s="82"/>
      <c r="D219" s="82"/>
      <c r="E219" s="38"/>
      <c r="F219" s="103"/>
    </row>
    <row r="220" ht="15.75" customHeight="1" spans="1:6">
      <c r="A220" s="82"/>
      <c r="B220" s="82"/>
      <c r="C220" s="82"/>
      <c r="D220" s="82"/>
      <c r="E220" s="38"/>
      <c r="F220" s="10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">
    <mergeCell ref="A1:Z1"/>
    <mergeCell ref="A11:Z11"/>
  </mergeCells>
  <pageMargins left="0.7" right="0.7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4"/>
  <sheetViews>
    <sheetView zoomScale="55" zoomScaleNormal="55" topLeftCell="A12" workbookViewId="0">
      <selection activeCell="I13" sqref="I13"/>
    </sheetView>
  </sheetViews>
  <sheetFormatPr defaultColWidth="12.6333333333333" defaultRowHeight="15" customHeight="1"/>
  <cols>
    <col min="1" max="1" width="2.13333333333333" customWidth="1"/>
    <col min="2" max="2" width="4.88333333333333" customWidth="1"/>
    <col min="3" max="3" width="18.8833333333333" customWidth="1"/>
    <col min="4" max="4" width="14.8833333333333" customWidth="1"/>
    <col min="5" max="5" width="15.1333333333333" customWidth="1"/>
    <col min="6" max="6" width="43.1333333333333" customWidth="1"/>
    <col min="7" max="7" width="43.5" customWidth="1"/>
    <col min="8" max="8" width="44.75" customWidth="1"/>
    <col min="9" max="9" width="44.5" customWidth="1"/>
    <col min="10" max="10" width="49.6333333333333" customWidth="1"/>
  </cols>
  <sheetData>
    <row r="1" ht="72" customHeight="1" spans="1:10">
      <c r="A1" s="46"/>
      <c r="B1" s="47" t="s">
        <v>169</v>
      </c>
      <c r="F1" s="48"/>
      <c r="G1" s="49"/>
      <c r="H1" s="49"/>
      <c r="I1" s="49"/>
      <c r="J1" s="49"/>
    </row>
    <row r="2" ht="37.5" customHeight="1" spans="6:10">
      <c r="F2" s="50"/>
      <c r="G2" s="50"/>
      <c r="H2" s="50"/>
      <c r="I2" s="50"/>
      <c r="J2" s="50"/>
    </row>
    <row r="3" ht="34.5" customHeight="1" spans="2:10">
      <c r="B3" s="51" t="s">
        <v>170</v>
      </c>
      <c r="C3" s="49"/>
      <c r="D3" s="49"/>
      <c r="E3" s="52"/>
      <c r="F3" s="53" t="s">
        <v>171</v>
      </c>
      <c r="G3" s="54" t="s">
        <v>172</v>
      </c>
      <c r="H3" s="54" t="s">
        <v>173</v>
      </c>
      <c r="I3" s="54" t="s">
        <v>174</v>
      </c>
      <c r="J3" s="54"/>
    </row>
    <row r="4" ht="7.5" customHeight="1" spans="2:10">
      <c r="B4" s="45"/>
      <c r="E4" s="49"/>
      <c r="F4" s="45"/>
      <c r="G4" s="12"/>
      <c r="H4" s="12"/>
      <c r="I4" s="12"/>
      <c r="J4" s="12"/>
    </row>
    <row r="5" ht="35.25" customHeight="1" spans="2:10">
      <c r="B5" s="55" t="s">
        <v>175</v>
      </c>
      <c r="C5" s="49"/>
      <c r="D5" s="49"/>
      <c r="E5" s="49"/>
      <c r="F5" s="56" t="s">
        <v>176</v>
      </c>
      <c r="G5" s="56" t="s">
        <v>177</v>
      </c>
      <c r="H5" s="56" t="s">
        <v>178</v>
      </c>
      <c r="I5" s="56" t="s">
        <v>179</v>
      </c>
      <c r="J5" s="68"/>
    </row>
    <row r="6" ht="37.5" customHeight="1" spans="2:10">
      <c r="B6" s="45"/>
      <c r="E6" s="49"/>
      <c r="F6" s="45"/>
      <c r="G6" s="12"/>
      <c r="H6" s="12"/>
      <c r="I6" s="12"/>
      <c r="J6" s="12"/>
    </row>
    <row r="7" ht="38.25" customHeight="1" spans="2:10">
      <c r="B7" s="57" t="s">
        <v>180</v>
      </c>
      <c r="E7" s="49"/>
      <c r="F7" s="58" t="s">
        <v>181</v>
      </c>
      <c r="G7" s="59"/>
      <c r="H7" s="45"/>
      <c r="I7" s="45"/>
      <c r="J7" s="45"/>
    </row>
    <row r="8" ht="29.25" customHeight="1" spans="2:10">
      <c r="B8" s="60" t="s">
        <v>182</v>
      </c>
      <c r="C8" s="49"/>
      <c r="D8" s="49"/>
      <c r="E8" s="49"/>
      <c r="F8" s="61" t="s">
        <v>183</v>
      </c>
      <c r="G8" s="45"/>
      <c r="H8" s="45"/>
      <c r="I8" s="45"/>
      <c r="J8" s="45"/>
    </row>
    <row r="9" ht="28.5" customHeight="1" spans="2:10">
      <c r="B9" s="62" t="s">
        <v>184</v>
      </c>
      <c r="C9" s="49"/>
      <c r="D9" s="49"/>
      <c r="E9" s="49"/>
      <c r="F9" s="58" t="s">
        <v>185</v>
      </c>
      <c r="G9" s="45"/>
      <c r="H9" s="45"/>
      <c r="I9" s="45"/>
      <c r="J9" s="45"/>
    </row>
    <row r="10" ht="28.5" customHeight="1" spans="2:10">
      <c r="B10" s="49"/>
      <c r="C10" s="49"/>
      <c r="D10" s="49"/>
      <c r="E10" s="49"/>
      <c r="F10" s="58" t="s">
        <v>186</v>
      </c>
      <c r="G10" s="45"/>
      <c r="H10" s="45"/>
      <c r="I10" s="45"/>
      <c r="J10" s="45"/>
    </row>
    <row r="11" ht="6.75" customHeight="1" spans="2:10">
      <c r="B11" s="63"/>
      <c r="C11" s="49"/>
      <c r="D11" s="49"/>
      <c r="E11" s="49"/>
      <c r="F11" s="64"/>
      <c r="G11" s="49"/>
      <c r="H11" s="49"/>
      <c r="I11" s="49"/>
      <c r="J11" s="49"/>
    </row>
    <row r="12" ht="27.75" customHeight="1" spans="2:10">
      <c r="B12" s="45"/>
      <c r="E12" s="49"/>
      <c r="F12" s="45"/>
      <c r="G12" s="12"/>
      <c r="H12" s="12"/>
      <c r="I12" s="12"/>
      <c r="J12" s="12"/>
    </row>
    <row r="13" ht="39.75" customHeight="1" spans="2:10">
      <c r="B13" s="57" t="s">
        <v>187</v>
      </c>
      <c r="E13" s="49"/>
      <c r="F13" s="45"/>
      <c r="G13" s="65" t="s">
        <v>188</v>
      </c>
      <c r="I13" s="45"/>
      <c r="J13" s="45"/>
    </row>
    <row r="14" ht="41.25" customHeight="1" spans="2:10">
      <c r="B14" s="62" t="s">
        <v>189</v>
      </c>
      <c r="C14" s="49"/>
      <c r="D14" s="49"/>
      <c r="E14" s="49"/>
      <c r="F14" s="45"/>
      <c r="H14" s="65" t="s">
        <v>190</v>
      </c>
      <c r="I14" s="45"/>
      <c r="J14" s="45"/>
    </row>
    <row r="15" ht="36" customHeight="1" spans="2:10">
      <c r="B15" s="49"/>
      <c r="D15" s="49"/>
      <c r="E15" s="49"/>
      <c r="F15" s="45"/>
      <c r="H15" s="65" t="s">
        <v>191</v>
      </c>
      <c r="I15" s="45"/>
      <c r="J15" s="45"/>
    </row>
    <row r="16" ht="36" customHeight="1" spans="2:10">
      <c r="B16" s="49"/>
      <c r="C16" s="49"/>
      <c r="D16" s="49"/>
      <c r="E16" s="49"/>
      <c r="F16" s="45"/>
      <c r="H16" s="66" t="s">
        <v>192</v>
      </c>
      <c r="I16" s="45"/>
      <c r="J16" s="45"/>
    </row>
    <row r="17" ht="6" customHeight="1" spans="2:10">
      <c r="B17" s="64"/>
      <c r="C17" s="49"/>
      <c r="D17" s="49"/>
      <c r="E17" s="49"/>
      <c r="F17" s="64"/>
      <c r="G17" s="49"/>
      <c r="H17" s="49"/>
      <c r="I17" s="49"/>
      <c r="J17" s="49"/>
    </row>
    <row r="18" ht="29.25" customHeight="1" spans="2:10">
      <c r="B18" s="45"/>
      <c r="E18" s="49"/>
      <c r="F18" s="45"/>
      <c r="G18" s="12"/>
      <c r="H18" s="12"/>
      <c r="I18" s="12"/>
      <c r="J18" s="12"/>
    </row>
    <row r="19" ht="49.5" customHeight="1" spans="2:9">
      <c r="B19" s="57" t="s">
        <v>193</v>
      </c>
      <c r="E19" s="49"/>
      <c r="F19" s="45"/>
      <c r="I19" s="66" t="s">
        <v>194</v>
      </c>
    </row>
    <row r="20" ht="43.5" customHeight="1" spans="2:10">
      <c r="B20" s="49"/>
      <c r="D20" s="49"/>
      <c r="E20" s="49"/>
      <c r="F20" s="45"/>
      <c r="H20" s="65" t="s">
        <v>195</v>
      </c>
      <c r="I20" s="45"/>
      <c r="J20" s="45"/>
    </row>
    <row r="21" ht="44.25" customHeight="1" spans="2:10">
      <c r="B21" s="49"/>
      <c r="C21" s="49"/>
      <c r="D21" s="49"/>
      <c r="E21" s="49"/>
      <c r="F21" s="45"/>
      <c r="H21" s="65" t="s">
        <v>196</v>
      </c>
      <c r="I21" s="45"/>
      <c r="J21" s="45"/>
    </row>
    <row r="22" ht="8.25" customHeight="1" spans="2:10">
      <c r="B22" s="64"/>
      <c r="C22" s="49"/>
      <c r="D22" s="49"/>
      <c r="E22" s="49"/>
      <c r="F22" s="64"/>
      <c r="G22" s="49"/>
      <c r="H22" s="49"/>
      <c r="I22" s="49"/>
      <c r="J22" s="49"/>
    </row>
    <row r="23" ht="24.75" customHeight="1" spans="2:10">
      <c r="B23" s="45"/>
      <c r="E23" s="49"/>
      <c r="F23" s="45"/>
      <c r="G23" s="12"/>
      <c r="H23" s="12"/>
      <c r="I23" s="12"/>
      <c r="J23" s="12"/>
    </row>
    <row r="24" ht="56.25" customHeight="1" spans="2:10">
      <c r="B24" s="57" t="s">
        <v>197</v>
      </c>
      <c r="E24" s="49"/>
      <c r="G24" s="67" t="s">
        <v>198</v>
      </c>
      <c r="H24" s="45"/>
      <c r="I24" s="45"/>
      <c r="J24" s="45"/>
    </row>
    <row r="25" ht="47.25" customHeight="1" spans="2:10">
      <c r="B25" s="62" t="s">
        <v>199</v>
      </c>
      <c r="C25" s="49"/>
      <c r="D25" s="49"/>
      <c r="E25" s="49"/>
      <c r="G25" s="66" t="s">
        <v>200</v>
      </c>
      <c r="H25" s="45"/>
      <c r="I25" s="45"/>
      <c r="J25" s="45"/>
    </row>
    <row r="26" ht="47.25" customHeight="1" spans="2:10">
      <c r="B26" s="49"/>
      <c r="D26" s="49"/>
      <c r="E26" s="49"/>
      <c r="F26" s="45"/>
      <c r="G26" s="65" t="s">
        <v>201</v>
      </c>
      <c r="H26" s="45"/>
      <c r="I26" s="45"/>
      <c r="J26" s="45"/>
    </row>
    <row r="27" ht="7.5" customHeight="1" spans="2:10">
      <c r="B27" s="64"/>
      <c r="C27" s="49"/>
      <c r="D27" s="49"/>
      <c r="E27" s="49"/>
      <c r="F27" s="64"/>
      <c r="G27" s="49"/>
      <c r="H27" s="49"/>
      <c r="I27" s="49"/>
      <c r="J27" s="49"/>
    </row>
    <row r="28" ht="30.75" customHeight="1" spans="2:10">
      <c r="B28" s="45"/>
      <c r="E28" s="49"/>
      <c r="F28" s="45"/>
      <c r="G28" s="12"/>
      <c r="H28" s="12"/>
      <c r="I28" s="12"/>
      <c r="J28" s="12"/>
    </row>
    <row r="29" ht="7.5" customHeight="1" spans="2:10">
      <c r="B29" s="64"/>
      <c r="C29" s="49"/>
      <c r="D29" s="49"/>
      <c r="E29" s="49"/>
      <c r="F29" s="64"/>
      <c r="G29" s="49"/>
      <c r="H29" s="49"/>
      <c r="I29" s="49"/>
      <c r="J29" s="49"/>
    </row>
    <row r="30" ht="15.75" customHeight="1" spans="2:10">
      <c r="B30" s="45"/>
      <c r="C30" s="45"/>
      <c r="D30" s="45"/>
      <c r="E30" s="45"/>
      <c r="F30" s="45"/>
      <c r="G30" s="45"/>
      <c r="H30" s="45"/>
      <c r="I30" s="45"/>
      <c r="J30" s="45"/>
    </row>
    <row r="31" ht="15.75" customHeight="1" spans="1:10">
      <c r="A31" s="45"/>
      <c r="B31" s="45"/>
      <c r="C31" s="45"/>
      <c r="D31" s="45"/>
      <c r="E31" s="45"/>
      <c r="F31" s="45"/>
      <c r="G31" s="45"/>
      <c r="H31" s="45"/>
      <c r="I31" s="45"/>
      <c r="J31" s="45"/>
    </row>
    <row r="32" ht="15.75" customHeight="1" spans="1:10">
      <c r="A32" s="45"/>
      <c r="B32" s="45"/>
      <c r="C32" s="45"/>
      <c r="D32" s="45"/>
      <c r="E32" s="45"/>
      <c r="F32" s="45"/>
      <c r="G32" s="45"/>
      <c r="H32" s="45"/>
      <c r="I32" s="45"/>
      <c r="J32" s="45"/>
    </row>
    <row r="33" ht="15.75" customHeight="1" spans="1:10">
      <c r="A33" s="45"/>
      <c r="B33" s="45"/>
      <c r="C33" s="45"/>
      <c r="D33" s="45"/>
      <c r="E33" s="45"/>
      <c r="F33" s="45"/>
      <c r="G33" s="45"/>
      <c r="H33" s="45"/>
      <c r="I33" s="45"/>
      <c r="J33" s="45"/>
    </row>
    <row r="34" ht="15.75" customHeight="1" spans="1:10">
      <c r="A34" s="45"/>
      <c r="B34" s="45"/>
      <c r="C34" s="45"/>
      <c r="D34" s="45"/>
      <c r="E34" s="45"/>
      <c r="F34" s="45"/>
      <c r="G34" s="45"/>
      <c r="H34" s="45"/>
      <c r="I34" s="45"/>
      <c r="J34" s="45"/>
    </row>
    <row r="35" ht="15.75" customHeight="1" spans="1:10">
      <c r="A35" s="45"/>
      <c r="B35" s="45"/>
      <c r="C35" s="45"/>
      <c r="D35" s="45"/>
      <c r="E35" s="45"/>
      <c r="F35" s="45"/>
      <c r="G35" s="45"/>
      <c r="H35" s="45"/>
      <c r="I35" s="45"/>
      <c r="J35" s="45"/>
    </row>
    <row r="36" ht="15.75" customHeight="1" spans="1:10">
      <c r="A36" s="45"/>
      <c r="B36" s="45"/>
      <c r="C36" s="45"/>
      <c r="D36" s="45"/>
      <c r="E36" s="45"/>
      <c r="F36" s="45"/>
      <c r="G36" s="45"/>
      <c r="H36" s="45"/>
      <c r="I36" s="45"/>
      <c r="J36" s="45"/>
    </row>
    <row r="37" ht="15.75" customHeight="1" spans="1:10">
      <c r="A37" s="45"/>
      <c r="B37" s="45"/>
      <c r="C37" s="45"/>
      <c r="D37" s="45"/>
      <c r="E37" s="45"/>
      <c r="F37" s="45"/>
      <c r="G37" s="45"/>
      <c r="H37" s="45"/>
      <c r="I37" s="45"/>
      <c r="J37" s="45"/>
    </row>
    <row r="38" ht="15.75" customHeight="1" spans="1:10">
      <c r="A38" s="45"/>
      <c r="B38" s="45"/>
      <c r="C38" s="45"/>
      <c r="D38" s="45"/>
      <c r="E38" s="45"/>
      <c r="F38" s="45"/>
      <c r="G38" s="45"/>
      <c r="H38" s="45"/>
      <c r="I38" s="45"/>
      <c r="J38" s="45"/>
    </row>
    <row r="39" ht="15.75" customHeight="1" spans="1:10">
      <c r="A39" s="45"/>
      <c r="B39" s="45"/>
      <c r="C39" s="45"/>
      <c r="D39" s="45"/>
      <c r="E39" s="45"/>
      <c r="F39" s="45"/>
      <c r="G39" s="45"/>
      <c r="H39" s="45"/>
      <c r="I39" s="45"/>
      <c r="J39" s="45"/>
    </row>
    <row r="40" ht="15.75" customHeight="1" spans="1:10">
      <c r="A40" s="45"/>
      <c r="B40" s="45"/>
      <c r="C40" s="45"/>
      <c r="D40" s="45"/>
      <c r="E40" s="45"/>
      <c r="F40" s="45"/>
      <c r="G40" s="45"/>
      <c r="H40" s="45"/>
      <c r="I40" s="45"/>
      <c r="J40" s="45"/>
    </row>
    <row r="41" ht="15.75" customHeight="1" spans="1:10">
      <c r="A41" s="45"/>
      <c r="B41" s="45"/>
      <c r="C41" s="45"/>
      <c r="D41" s="45"/>
      <c r="E41" s="45"/>
      <c r="F41" s="45"/>
      <c r="G41" s="45"/>
      <c r="H41" s="45"/>
      <c r="I41" s="45"/>
      <c r="J41" s="45"/>
    </row>
    <row r="42" ht="15.75" customHeight="1" spans="1:10">
      <c r="A42" s="45"/>
      <c r="B42" s="45"/>
      <c r="C42" s="45"/>
      <c r="D42" s="45"/>
      <c r="E42" s="45"/>
      <c r="F42" s="45"/>
      <c r="G42" s="45"/>
      <c r="H42" s="45"/>
      <c r="I42" s="45"/>
      <c r="J42" s="45"/>
    </row>
    <row r="43" ht="15.75" customHeight="1" spans="1:10">
      <c r="A43" s="45"/>
      <c r="B43" s="45"/>
      <c r="C43" s="45"/>
      <c r="D43" s="45"/>
      <c r="E43" s="45"/>
      <c r="F43" s="45"/>
      <c r="G43" s="45"/>
      <c r="H43" s="45"/>
      <c r="I43" s="45"/>
      <c r="J43" s="45"/>
    </row>
    <row r="44" ht="15.75" customHeight="1" spans="1:10">
      <c r="A44" s="45"/>
      <c r="B44" s="45"/>
      <c r="C44" s="45"/>
      <c r="D44" s="45"/>
      <c r="E44" s="45"/>
      <c r="F44" s="45"/>
      <c r="G44" s="45"/>
      <c r="H44" s="45"/>
      <c r="I44" s="45"/>
      <c r="J44" s="45"/>
    </row>
    <row r="45" ht="15.75" customHeight="1" spans="1:10">
      <c r="A45" s="45"/>
      <c r="B45" s="45"/>
      <c r="C45" s="45"/>
      <c r="D45" s="45"/>
      <c r="E45" s="45"/>
      <c r="F45" s="45"/>
      <c r="G45" s="45"/>
      <c r="H45" s="45"/>
      <c r="I45" s="45"/>
      <c r="J45" s="45"/>
    </row>
    <row r="46" ht="15.75" customHeight="1" spans="1:10">
      <c r="A46" s="45"/>
      <c r="B46" s="45"/>
      <c r="C46" s="45"/>
      <c r="D46" s="45"/>
      <c r="E46" s="45"/>
      <c r="F46" s="45"/>
      <c r="G46" s="45"/>
      <c r="H46" s="45"/>
      <c r="I46" s="45"/>
      <c r="J46" s="45"/>
    </row>
    <row r="47" ht="15.75" customHeight="1" spans="1:10">
      <c r="A47" s="45"/>
      <c r="B47" s="45"/>
      <c r="C47" s="45"/>
      <c r="D47" s="45"/>
      <c r="E47" s="45"/>
      <c r="F47" s="45"/>
      <c r="G47" s="45"/>
      <c r="H47" s="45"/>
      <c r="I47" s="45"/>
      <c r="J47" s="45"/>
    </row>
    <row r="48" ht="15.75" customHeight="1" spans="1:10">
      <c r="A48" s="45"/>
      <c r="B48" s="45"/>
      <c r="C48" s="45"/>
      <c r="D48" s="45"/>
      <c r="E48" s="45"/>
      <c r="F48" s="45"/>
      <c r="G48" s="45"/>
      <c r="H48" s="45"/>
      <c r="I48" s="45"/>
      <c r="J48" s="45"/>
    </row>
    <row r="49" ht="15.75" customHeight="1" spans="1:10">
      <c r="A49" s="45"/>
      <c r="B49" s="45"/>
      <c r="C49" s="45"/>
      <c r="D49" s="45"/>
      <c r="E49" s="45"/>
      <c r="F49" s="45"/>
      <c r="G49" s="45"/>
      <c r="H49" s="45"/>
      <c r="I49" s="45"/>
      <c r="J49" s="45"/>
    </row>
    <row r="50" ht="15.75" customHeight="1" spans="1:10">
      <c r="A50" s="45"/>
      <c r="B50" s="45"/>
      <c r="C50" s="45"/>
      <c r="D50" s="45"/>
      <c r="E50" s="45"/>
      <c r="F50" s="45"/>
      <c r="G50" s="45"/>
      <c r="H50" s="45"/>
      <c r="I50" s="45"/>
      <c r="J50" s="45"/>
    </row>
    <row r="51" ht="15.75" customHeight="1" spans="1:10">
      <c r="A51" s="45"/>
      <c r="B51" s="45"/>
      <c r="C51" s="45"/>
      <c r="D51" s="45"/>
      <c r="E51" s="45"/>
      <c r="F51" s="45"/>
      <c r="G51" s="45"/>
      <c r="H51" s="45"/>
      <c r="I51" s="45"/>
      <c r="J51" s="45"/>
    </row>
    <row r="52" ht="15.75" customHeight="1" spans="1:10">
      <c r="A52" s="45"/>
      <c r="B52" s="45"/>
      <c r="C52" s="45"/>
      <c r="D52" s="45"/>
      <c r="E52" s="45"/>
      <c r="F52" s="45"/>
      <c r="G52" s="45"/>
      <c r="H52" s="45"/>
      <c r="I52" s="45"/>
      <c r="J52" s="45"/>
    </row>
    <row r="53" ht="15.75" customHeight="1" spans="1:10">
      <c r="A53" s="45"/>
      <c r="B53" s="45"/>
      <c r="C53" s="45"/>
      <c r="D53" s="45"/>
      <c r="E53" s="45"/>
      <c r="F53" s="45"/>
      <c r="G53" s="45"/>
      <c r="H53" s="45"/>
      <c r="I53" s="45"/>
      <c r="J53" s="45"/>
    </row>
    <row r="54" ht="15.75" customHeight="1" spans="1:10">
      <c r="A54" s="45"/>
      <c r="B54" s="45"/>
      <c r="C54" s="45"/>
      <c r="D54" s="45"/>
      <c r="E54" s="45"/>
      <c r="F54" s="45"/>
      <c r="G54" s="45"/>
      <c r="H54" s="45"/>
      <c r="I54" s="45"/>
      <c r="J54" s="45"/>
    </row>
    <row r="55" ht="15.75" customHeight="1" spans="1:10">
      <c r="A55" s="45"/>
      <c r="B55" s="45"/>
      <c r="C55" s="45"/>
      <c r="D55" s="45"/>
      <c r="E55" s="45"/>
      <c r="F55" s="45"/>
      <c r="G55" s="45"/>
      <c r="H55" s="45"/>
      <c r="I55" s="45"/>
      <c r="J55" s="45"/>
    </row>
    <row r="56" ht="15.75" customHeight="1" spans="1:10">
      <c r="A56" s="45"/>
      <c r="B56" s="45"/>
      <c r="C56" s="45"/>
      <c r="D56" s="45"/>
      <c r="E56" s="45"/>
      <c r="F56" s="45"/>
      <c r="G56" s="45"/>
      <c r="H56" s="45"/>
      <c r="I56" s="45"/>
      <c r="J56" s="45"/>
    </row>
    <row r="57" ht="15.75" customHeight="1" spans="1:10">
      <c r="A57" s="45"/>
      <c r="B57" s="45"/>
      <c r="C57" s="45"/>
      <c r="D57" s="45"/>
      <c r="E57" s="45"/>
      <c r="F57" s="45"/>
      <c r="G57" s="45"/>
      <c r="H57" s="45"/>
      <c r="I57" s="45"/>
      <c r="J57" s="45"/>
    </row>
    <row r="58" ht="15.75" customHeight="1" spans="1:10">
      <c r="A58" s="45"/>
      <c r="B58" s="45"/>
      <c r="C58" s="45"/>
      <c r="D58" s="45"/>
      <c r="E58" s="45"/>
      <c r="F58" s="45"/>
      <c r="G58" s="45"/>
      <c r="H58" s="45"/>
      <c r="I58" s="45"/>
      <c r="J58" s="45"/>
    </row>
    <row r="59" ht="15.75" customHeight="1" spans="1:10">
      <c r="A59" s="45"/>
      <c r="B59" s="45"/>
      <c r="C59" s="45"/>
      <c r="D59" s="45"/>
      <c r="E59" s="45"/>
      <c r="F59" s="45"/>
      <c r="G59" s="45"/>
      <c r="H59" s="45"/>
      <c r="I59" s="45"/>
      <c r="J59" s="45"/>
    </row>
    <row r="60" ht="15.75" customHeight="1" spans="1:10">
      <c r="A60" s="45"/>
      <c r="B60" s="45"/>
      <c r="C60" s="45"/>
      <c r="D60" s="45"/>
      <c r="E60" s="45"/>
      <c r="F60" s="45"/>
      <c r="G60" s="45"/>
      <c r="H60" s="45"/>
      <c r="I60" s="45"/>
      <c r="J60" s="45"/>
    </row>
    <row r="61" ht="15.75" customHeight="1" spans="1:10">
      <c r="A61" s="45"/>
      <c r="B61" s="45"/>
      <c r="C61" s="45"/>
      <c r="D61" s="45"/>
      <c r="E61" s="45"/>
      <c r="F61" s="45"/>
      <c r="G61" s="45"/>
      <c r="H61" s="45"/>
      <c r="I61" s="45"/>
      <c r="J61" s="45"/>
    </row>
    <row r="62" ht="15.75" customHeight="1" spans="1:10">
      <c r="A62" s="45"/>
      <c r="B62" s="45"/>
      <c r="C62" s="45"/>
      <c r="D62" s="45"/>
      <c r="E62" s="45"/>
      <c r="F62" s="45"/>
      <c r="G62" s="45"/>
      <c r="H62" s="45"/>
      <c r="I62" s="45"/>
      <c r="J62" s="45"/>
    </row>
    <row r="63" ht="15.75" customHeight="1" spans="1:10">
      <c r="A63" s="45"/>
      <c r="B63" s="45"/>
      <c r="C63" s="45"/>
      <c r="D63" s="45"/>
      <c r="E63" s="45"/>
      <c r="F63" s="45"/>
      <c r="G63" s="45"/>
      <c r="H63" s="45"/>
      <c r="I63" s="45"/>
      <c r="J63" s="45"/>
    </row>
    <row r="64" ht="15.75" customHeight="1" spans="1:10">
      <c r="A64" s="45"/>
      <c r="B64" s="45"/>
      <c r="C64" s="45"/>
      <c r="D64" s="45"/>
      <c r="E64" s="45"/>
      <c r="F64" s="45"/>
      <c r="G64" s="45"/>
      <c r="H64" s="45"/>
      <c r="I64" s="45"/>
      <c r="J64" s="45"/>
    </row>
    <row r="65" ht="15.75" customHeight="1" spans="1:10">
      <c r="A65" s="45"/>
      <c r="B65" s="45"/>
      <c r="C65" s="45"/>
      <c r="D65" s="45"/>
      <c r="E65" s="45"/>
      <c r="F65" s="45"/>
      <c r="G65" s="45"/>
      <c r="H65" s="45"/>
      <c r="I65" s="45"/>
      <c r="J65" s="45"/>
    </row>
    <row r="66" ht="15.75" customHeight="1" spans="1:10">
      <c r="A66" s="45"/>
      <c r="B66" s="45"/>
      <c r="C66" s="45"/>
      <c r="D66" s="45"/>
      <c r="E66" s="45"/>
      <c r="F66" s="45"/>
      <c r="G66" s="45"/>
      <c r="H66" s="45"/>
      <c r="I66" s="45"/>
      <c r="J66" s="45"/>
    </row>
    <row r="67" ht="15.75" customHeight="1" spans="1:10">
      <c r="A67" s="45"/>
      <c r="B67" s="45"/>
      <c r="C67" s="45"/>
      <c r="D67" s="45"/>
      <c r="E67" s="45"/>
      <c r="F67" s="45"/>
      <c r="G67" s="45"/>
      <c r="H67" s="45"/>
      <c r="I67" s="45"/>
      <c r="J67" s="45"/>
    </row>
    <row r="68" ht="15.75" customHeight="1" spans="1:10">
      <c r="A68" s="45"/>
      <c r="B68" s="45"/>
      <c r="C68" s="45"/>
      <c r="D68" s="45"/>
      <c r="E68" s="45"/>
      <c r="F68" s="45"/>
      <c r="G68" s="45"/>
      <c r="H68" s="45"/>
      <c r="I68" s="45"/>
      <c r="J68" s="45"/>
    </row>
    <row r="69" ht="15.75" customHeight="1" spans="1:10">
      <c r="A69" s="45"/>
      <c r="B69" s="45"/>
      <c r="C69" s="45"/>
      <c r="D69" s="45"/>
      <c r="E69" s="45"/>
      <c r="F69" s="45"/>
      <c r="G69" s="45"/>
      <c r="H69" s="45"/>
      <c r="I69" s="45"/>
      <c r="J69" s="45"/>
    </row>
    <row r="70" ht="15.75" customHeight="1" spans="1:10">
      <c r="A70" s="45"/>
      <c r="B70" s="45"/>
      <c r="C70" s="45"/>
      <c r="D70" s="45"/>
      <c r="E70" s="45"/>
      <c r="F70" s="45"/>
      <c r="G70" s="45"/>
      <c r="H70" s="45"/>
      <c r="I70" s="45"/>
      <c r="J70" s="45"/>
    </row>
    <row r="71" ht="15.75" customHeight="1" spans="1:10">
      <c r="A71" s="45"/>
      <c r="B71" s="45"/>
      <c r="C71" s="45"/>
      <c r="D71" s="45"/>
      <c r="E71" s="45"/>
      <c r="F71" s="45"/>
      <c r="G71" s="45"/>
      <c r="H71" s="45"/>
      <c r="I71" s="45"/>
      <c r="J71" s="45"/>
    </row>
    <row r="72" ht="15.75" customHeight="1" spans="1:10">
      <c r="A72" s="45"/>
      <c r="B72" s="45"/>
      <c r="C72" s="45"/>
      <c r="D72" s="45"/>
      <c r="E72" s="45"/>
      <c r="F72" s="45"/>
      <c r="G72" s="45"/>
      <c r="H72" s="45"/>
      <c r="I72" s="45"/>
      <c r="J72" s="45"/>
    </row>
    <row r="73" ht="15.75" customHeight="1" spans="1:10">
      <c r="A73" s="45"/>
      <c r="B73" s="45"/>
      <c r="C73" s="45"/>
      <c r="D73" s="45"/>
      <c r="E73" s="45"/>
      <c r="F73" s="45"/>
      <c r="G73" s="45"/>
      <c r="H73" s="45"/>
      <c r="I73" s="45"/>
      <c r="J73" s="45"/>
    </row>
    <row r="74" ht="15.75" customHeight="1" spans="1:10">
      <c r="A74" s="45"/>
      <c r="B74" s="45"/>
      <c r="C74" s="45"/>
      <c r="D74" s="45"/>
      <c r="E74" s="45"/>
      <c r="F74" s="45"/>
      <c r="G74" s="45"/>
      <c r="H74" s="45"/>
      <c r="I74" s="45"/>
      <c r="J74" s="45"/>
    </row>
    <row r="75" ht="15.75" customHeight="1" spans="1:10">
      <c r="A75" s="45"/>
      <c r="B75" s="45"/>
      <c r="C75" s="45"/>
      <c r="D75" s="45"/>
      <c r="E75" s="45"/>
      <c r="F75" s="45"/>
      <c r="G75" s="45"/>
      <c r="H75" s="45"/>
      <c r="I75" s="45"/>
      <c r="J75" s="45"/>
    </row>
    <row r="76" ht="15.75" customHeight="1" spans="1:10">
      <c r="A76" s="45"/>
      <c r="B76" s="45"/>
      <c r="C76" s="45"/>
      <c r="D76" s="45"/>
      <c r="E76" s="45"/>
      <c r="F76" s="45"/>
      <c r="G76" s="45"/>
      <c r="H76" s="45"/>
      <c r="I76" s="45"/>
      <c r="J76" s="45"/>
    </row>
    <row r="77" ht="15.75" customHeight="1" spans="1:10">
      <c r="A77" s="45"/>
      <c r="B77" s="45"/>
      <c r="C77" s="45"/>
      <c r="D77" s="45"/>
      <c r="E77" s="45"/>
      <c r="F77" s="45"/>
      <c r="G77" s="45"/>
      <c r="H77" s="45"/>
      <c r="I77" s="45"/>
      <c r="J77" s="45"/>
    </row>
    <row r="78" ht="15.75" customHeight="1" spans="1:10">
      <c r="A78" s="45"/>
      <c r="B78" s="45"/>
      <c r="C78" s="45"/>
      <c r="D78" s="45"/>
      <c r="E78" s="45"/>
      <c r="F78" s="45"/>
      <c r="G78" s="45"/>
      <c r="H78" s="45"/>
      <c r="I78" s="45"/>
      <c r="J78" s="45"/>
    </row>
    <row r="79" ht="15.75" customHeight="1" spans="1:10">
      <c r="A79" s="45"/>
      <c r="B79" s="45"/>
      <c r="C79" s="45"/>
      <c r="D79" s="45"/>
      <c r="E79" s="45"/>
      <c r="F79" s="45"/>
      <c r="G79" s="45"/>
      <c r="H79" s="45"/>
      <c r="I79" s="45"/>
      <c r="J79" s="45"/>
    </row>
    <row r="80" ht="15.75" customHeight="1" spans="1:10">
      <c r="A80" s="45"/>
      <c r="B80" s="45"/>
      <c r="C80" s="45"/>
      <c r="D80" s="45"/>
      <c r="E80" s="45"/>
      <c r="F80" s="45"/>
      <c r="G80" s="45"/>
      <c r="H80" s="45"/>
      <c r="I80" s="45"/>
      <c r="J80" s="45"/>
    </row>
    <row r="81" ht="15.75" customHeight="1" spans="1:10">
      <c r="A81" s="45"/>
      <c r="B81" s="45"/>
      <c r="C81" s="45"/>
      <c r="D81" s="45"/>
      <c r="E81" s="45"/>
      <c r="F81" s="45"/>
      <c r="G81" s="45"/>
      <c r="H81" s="45"/>
      <c r="I81" s="45"/>
      <c r="J81" s="45"/>
    </row>
    <row r="82" ht="15.75" customHeight="1" spans="1:10">
      <c r="A82" s="45"/>
      <c r="B82" s="45"/>
      <c r="C82" s="45"/>
      <c r="D82" s="45"/>
      <c r="E82" s="45"/>
      <c r="F82" s="45"/>
      <c r="G82" s="45"/>
      <c r="H82" s="45"/>
      <c r="I82" s="45"/>
      <c r="J82" s="45"/>
    </row>
    <row r="83" ht="15.75" customHeight="1" spans="1:10">
      <c r="A83" s="45"/>
      <c r="B83" s="45"/>
      <c r="C83" s="45"/>
      <c r="D83" s="45"/>
      <c r="E83" s="45"/>
      <c r="F83" s="45"/>
      <c r="G83" s="45"/>
      <c r="H83" s="45"/>
      <c r="I83" s="45"/>
      <c r="J83" s="45"/>
    </row>
    <row r="84" ht="15.75" customHeight="1" spans="1:10">
      <c r="A84" s="45"/>
      <c r="B84" s="45"/>
      <c r="C84" s="45"/>
      <c r="D84" s="45"/>
      <c r="E84" s="45"/>
      <c r="F84" s="45"/>
      <c r="G84" s="45"/>
      <c r="H84" s="45"/>
      <c r="I84" s="45"/>
      <c r="J84" s="45"/>
    </row>
    <row r="85" ht="15.75" customHeight="1" spans="1:10">
      <c r="A85" s="45"/>
      <c r="B85" s="45"/>
      <c r="C85" s="45"/>
      <c r="D85" s="45"/>
      <c r="E85" s="45"/>
      <c r="F85" s="45"/>
      <c r="G85" s="45"/>
      <c r="H85" s="45"/>
      <c r="I85" s="45"/>
      <c r="J85" s="45"/>
    </row>
    <row r="86" ht="15.75" customHeight="1" spans="1:10">
      <c r="A86" s="45"/>
      <c r="B86" s="45"/>
      <c r="C86" s="45"/>
      <c r="D86" s="45"/>
      <c r="E86" s="45"/>
      <c r="F86" s="45"/>
      <c r="G86" s="45"/>
      <c r="H86" s="45"/>
      <c r="I86" s="45"/>
      <c r="J86" s="45"/>
    </row>
    <row r="87" ht="15.75" customHeight="1" spans="1:10">
      <c r="A87" s="45"/>
      <c r="B87" s="45"/>
      <c r="C87" s="45"/>
      <c r="D87" s="45"/>
      <c r="E87" s="45"/>
      <c r="F87" s="45"/>
      <c r="G87" s="45"/>
      <c r="H87" s="45"/>
      <c r="I87" s="45"/>
      <c r="J87" s="45"/>
    </row>
    <row r="88" ht="15.75" customHeight="1" spans="1:10">
      <c r="A88" s="45"/>
      <c r="B88" s="45"/>
      <c r="C88" s="45"/>
      <c r="D88" s="45"/>
      <c r="E88" s="45"/>
      <c r="F88" s="45"/>
      <c r="G88" s="45"/>
      <c r="H88" s="45"/>
      <c r="I88" s="45"/>
      <c r="J88" s="45"/>
    </row>
    <row r="89" ht="15.75" customHeight="1" spans="1:10">
      <c r="A89" s="45"/>
      <c r="B89" s="45"/>
      <c r="C89" s="45"/>
      <c r="D89" s="45"/>
      <c r="E89" s="45"/>
      <c r="F89" s="45"/>
      <c r="G89" s="45"/>
      <c r="H89" s="45"/>
      <c r="I89" s="45"/>
      <c r="J89" s="45"/>
    </row>
    <row r="90" ht="15.75" customHeight="1" spans="1:10">
      <c r="A90" s="45"/>
      <c r="B90" s="45"/>
      <c r="C90" s="45"/>
      <c r="D90" s="45"/>
      <c r="E90" s="45"/>
      <c r="F90" s="45"/>
      <c r="G90" s="45"/>
      <c r="H90" s="45"/>
      <c r="I90" s="45"/>
      <c r="J90" s="45"/>
    </row>
    <row r="91" ht="15.75" customHeight="1" spans="1:10">
      <c r="A91" s="45"/>
      <c r="B91" s="45"/>
      <c r="C91" s="45"/>
      <c r="D91" s="45"/>
      <c r="E91" s="45"/>
      <c r="F91" s="45"/>
      <c r="G91" s="45"/>
      <c r="H91" s="45"/>
      <c r="I91" s="45"/>
      <c r="J91" s="45"/>
    </row>
    <row r="92" ht="15.75" customHeight="1" spans="1:10">
      <c r="A92" s="45"/>
      <c r="B92" s="45"/>
      <c r="C92" s="45"/>
      <c r="D92" s="45"/>
      <c r="E92" s="45"/>
      <c r="F92" s="45"/>
      <c r="G92" s="45"/>
      <c r="H92" s="45"/>
      <c r="I92" s="45"/>
      <c r="J92" s="45"/>
    </row>
    <row r="93" ht="15.75" customHeight="1" spans="1:10">
      <c r="A93" s="45"/>
      <c r="B93" s="45"/>
      <c r="C93" s="45"/>
      <c r="D93" s="45"/>
      <c r="E93" s="45"/>
      <c r="F93" s="45"/>
      <c r="G93" s="45"/>
      <c r="H93" s="45"/>
      <c r="I93" s="45"/>
      <c r="J93" s="45"/>
    </row>
    <row r="94" ht="15.75" customHeight="1" spans="1:10">
      <c r="A94" s="45"/>
      <c r="B94" s="45"/>
      <c r="C94" s="45"/>
      <c r="D94" s="45"/>
      <c r="E94" s="45"/>
      <c r="F94" s="45"/>
      <c r="G94" s="45"/>
      <c r="H94" s="45"/>
      <c r="I94" s="45"/>
      <c r="J94" s="45"/>
    </row>
    <row r="95" ht="15.75" customHeight="1" spans="1:10">
      <c r="A95" s="45"/>
      <c r="B95" s="45"/>
      <c r="C95" s="45"/>
      <c r="D95" s="45"/>
      <c r="E95" s="45"/>
      <c r="F95" s="45"/>
      <c r="G95" s="45"/>
      <c r="H95" s="45"/>
      <c r="I95" s="45"/>
      <c r="J95" s="45"/>
    </row>
    <row r="96" ht="15.75" customHeight="1" spans="1:10">
      <c r="A96" s="45"/>
      <c r="B96" s="45"/>
      <c r="C96" s="45"/>
      <c r="D96" s="45"/>
      <c r="E96" s="45"/>
      <c r="F96" s="45"/>
      <c r="G96" s="45"/>
      <c r="H96" s="45"/>
      <c r="I96" s="45"/>
      <c r="J96" s="45"/>
    </row>
    <row r="97" ht="15.75" customHeight="1" spans="1:10">
      <c r="A97" s="45"/>
      <c r="B97" s="45"/>
      <c r="C97" s="45"/>
      <c r="D97" s="45"/>
      <c r="E97" s="45"/>
      <c r="F97" s="45"/>
      <c r="G97" s="45"/>
      <c r="H97" s="45"/>
      <c r="I97" s="45"/>
      <c r="J97" s="45"/>
    </row>
    <row r="98" ht="15.75" customHeight="1" spans="1:10">
      <c r="A98" s="45"/>
      <c r="B98" s="45"/>
      <c r="C98" s="45"/>
      <c r="D98" s="45"/>
      <c r="E98" s="45"/>
      <c r="F98" s="45"/>
      <c r="G98" s="45"/>
      <c r="H98" s="45"/>
      <c r="I98" s="45"/>
      <c r="J98" s="45"/>
    </row>
    <row r="99" ht="15.75" customHeight="1" spans="1:10">
      <c r="A99" s="45"/>
      <c r="B99" s="45"/>
      <c r="C99" s="45"/>
      <c r="D99" s="45"/>
      <c r="E99" s="45"/>
      <c r="F99" s="45"/>
      <c r="G99" s="45"/>
      <c r="H99" s="45"/>
      <c r="I99" s="45"/>
      <c r="J99" s="45"/>
    </row>
    <row r="100" ht="15.75" customHeight="1" spans="1:10">
      <c r="A100" s="45"/>
      <c r="B100" s="45"/>
      <c r="C100" s="45"/>
      <c r="D100" s="45"/>
      <c r="E100" s="45"/>
      <c r="F100" s="45"/>
      <c r="G100" s="45"/>
      <c r="H100" s="45"/>
      <c r="I100" s="45"/>
      <c r="J100" s="45"/>
    </row>
    <row r="101" ht="15.75" customHeight="1" spans="1:10">
      <c r="A101" s="45"/>
      <c r="B101" s="45"/>
      <c r="C101" s="45"/>
      <c r="D101" s="45"/>
      <c r="E101" s="45"/>
      <c r="F101" s="45"/>
      <c r="G101" s="45"/>
      <c r="H101" s="45"/>
      <c r="I101" s="45"/>
      <c r="J101" s="45"/>
    </row>
    <row r="102" ht="15.75" customHeight="1" spans="1:10">
      <c r="A102" s="45"/>
      <c r="B102" s="45"/>
      <c r="C102" s="45"/>
      <c r="D102" s="45"/>
      <c r="E102" s="45"/>
      <c r="F102" s="45"/>
      <c r="G102" s="45"/>
      <c r="H102" s="45"/>
      <c r="I102" s="45"/>
      <c r="J102" s="45"/>
    </row>
    <row r="103" ht="15.75" customHeight="1" spans="1:10">
      <c r="A103" s="45"/>
      <c r="B103" s="45"/>
      <c r="C103" s="45"/>
      <c r="D103" s="45"/>
      <c r="E103" s="45"/>
      <c r="F103" s="45"/>
      <c r="G103" s="45"/>
      <c r="H103" s="45"/>
      <c r="I103" s="45"/>
      <c r="J103" s="45"/>
    </row>
    <row r="104" ht="15.75" customHeight="1" spans="1:10">
      <c r="A104" s="45"/>
      <c r="B104" s="45"/>
      <c r="C104" s="45"/>
      <c r="D104" s="45"/>
      <c r="E104" s="45"/>
      <c r="F104" s="45"/>
      <c r="G104" s="45"/>
      <c r="H104" s="45"/>
      <c r="I104" s="45"/>
      <c r="J104" s="45"/>
    </row>
    <row r="105" ht="15.75" customHeight="1" spans="1:10">
      <c r="A105" s="45"/>
      <c r="B105" s="45"/>
      <c r="C105" s="45"/>
      <c r="D105" s="45"/>
      <c r="E105" s="45"/>
      <c r="F105" s="45"/>
      <c r="G105" s="45"/>
      <c r="H105" s="45"/>
      <c r="I105" s="45"/>
      <c r="J105" s="45"/>
    </row>
    <row r="106" ht="15.75" customHeight="1" spans="1:10">
      <c r="A106" s="45"/>
      <c r="B106" s="45"/>
      <c r="C106" s="45"/>
      <c r="D106" s="45"/>
      <c r="E106" s="45"/>
      <c r="F106" s="45"/>
      <c r="G106" s="45"/>
      <c r="H106" s="45"/>
      <c r="I106" s="45"/>
      <c r="J106" s="45"/>
    </row>
    <row r="107" ht="15.75" customHeight="1" spans="1:10">
      <c r="A107" s="45"/>
      <c r="B107" s="45"/>
      <c r="C107" s="45"/>
      <c r="D107" s="45"/>
      <c r="E107" s="45"/>
      <c r="F107" s="45"/>
      <c r="G107" s="45"/>
      <c r="H107" s="45"/>
      <c r="I107" s="45"/>
      <c r="J107" s="45"/>
    </row>
    <row r="108" ht="15.75" customHeight="1" spans="1:10">
      <c r="A108" s="45"/>
      <c r="B108" s="45"/>
      <c r="C108" s="45"/>
      <c r="D108" s="45"/>
      <c r="E108" s="45"/>
      <c r="F108" s="45"/>
      <c r="G108" s="45"/>
      <c r="H108" s="45"/>
      <c r="I108" s="45"/>
      <c r="J108" s="45"/>
    </row>
    <row r="109" ht="15.75" customHeight="1" spans="1:10">
      <c r="A109" s="45"/>
      <c r="B109" s="45"/>
      <c r="C109" s="45"/>
      <c r="D109" s="45"/>
      <c r="E109" s="45"/>
      <c r="F109" s="45"/>
      <c r="G109" s="45"/>
      <c r="H109" s="45"/>
      <c r="I109" s="45"/>
      <c r="J109" s="45"/>
    </row>
    <row r="110" ht="15.75" customHeight="1" spans="1:10">
      <c r="A110" s="45"/>
      <c r="B110" s="45"/>
      <c r="C110" s="45"/>
      <c r="D110" s="45"/>
      <c r="E110" s="45"/>
      <c r="F110" s="45"/>
      <c r="G110" s="45"/>
      <c r="H110" s="45"/>
      <c r="I110" s="45"/>
      <c r="J110" s="45"/>
    </row>
    <row r="111" ht="15.75" customHeight="1" spans="1:10">
      <c r="A111" s="45"/>
      <c r="B111" s="45"/>
      <c r="C111" s="45"/>
      <c r="D111" s="45"/>
      <c r="E111" s="45"/>
      <c r="F111" s="45"/>
      <c r="G111" s="45"/>
      <c r="H111" s="45"/>
      <c r="I111" s="45"/>
      <c r="J111" s="45"/>
    </row>
    <row r="112" ht="15.75" customHeight="1" spans="1:10">
      <c r="A112" s="45"/>
      <c r="B112" s="45"/>
      <c r="C112" s="45"/>
      <c r="D112" s="45"/>
      <c r="E112" s="45"/>
      <c r="F112" s="45"/>
      <c r="G112" s="45"/>
      <c r="H112" s="45"/>
      <c r="I112" s="45"/>
      <c r="J112" s="45"/>
    </row>
    <row r="113" ht="15.75" customHeight="1" spans="1:10">
      <c r="A113" s="45"/>
      <c r="B113" s="45"/>
      <c r="C113" s="45"/>
      <c r="D113" s="45"/>
      <c r="E113" s="45"/>
      <c r="F113" s="45"/>
      <c r="G113" s="45"/>
      <c r="H113" s="45"/>
      <c r="I113" s="45"/>
      <c r="J113" s="45"/>
    </row>
    <row r="114" ht="15.75" customHeight="1" spans="1:10">
      <c r="A114" s="45"/>
      <c r="B114" s="45"/>
      <c r="C114" s="45"/>
      <c r="D114" s="45"/>
      <c r="E114" s="45"/>
      <c r="F114" s="45"/>
      <c r="G114" s="45"/>
      <c r="H114" s="45"/>
      <c r="I114" s="45"/>
      <c r="J114" s="45"/>
    </row>
    <row r="115" ht="15.75" customHeight="1" spans="1:10">
      <c r="A115" s="45"/>
      <c r="B115" s="45"/>
      <c r="C115" s="45"/>
      <c r="D115" s="45"/>
      <c r="E115" s="45"/>
      <c r="F115" s="45"/>
      <c r="G115" s="45"/>
      <c r="H115" s="45"/>
      <c r="I115" s="45"/>
      <c r="J115" s="45"/>
    </row>
    <row r="116" ht="15.75" customHeight="1" spans="1:10">
      <c r="A116" s="45"/>
      <c r="B116" s="45"/>
      <c r="C116" s="45"/>
      <c r="D116" s="45"/>
      <c r="E116" s="45"/>
      <c r="F116" s="45"/>
      <c r="G116" s="45"/>
      <c r="H116" s="45"/>
      <c r="I116" s="45"/>
      <c r="J116" s="45"/>
    </row>
    <row r="117" ht="15.75" customHeight="1" spans="1:10">
      <c r="A117" s="45"/>
      <c r="B117" s="45"/>
      <c r="C117" s="45"/>
      <c r="D117" s="45"/>
      <c r="E117" s="45"/>
      <c r="F117" s="45"/>
      <c r="G117" s="45"/>
      <c r="H117" s="45"/>
      <c r="I117" s="45"/>
      <c r="J117" s="45"/>
    </row>
    <row r="118" ht="15.75" customHeight="1" spans="1:10">
      <c r="A118" s="45"/>
      <c r="B118" s="45"/>
      <c r="C118" s="45"/>
      <c r="D118" s="45"/>
      <c r="E118" s="45"/>
      <c r="F118" s="45"/>
      <c r="G118" s="45"/>
      <c r="H118" s="45"/>
      <c r="I118" s="45"/>
      <c r="J118" s="45"/>
    </row>
    <row r="119" ht="15.75" customHeight="1" spans="1:10">
      <c r="A119" s="45"/>
      <c r="B119" s="45"/>
      <c r="C119" s="45"/>
      <c r="D119" s="45"/>
      <c r="E119" s="45"/>
      <c r="F119" s="45"/>
      <c r="G119" s="45"/>
      <c r="H119" s="45"/>
      <c r="I119" s="45"/>
      <c r="J119" s="45"/>
    </row>
    <row r="120" ht="15.75" customHeight="1" spans="1:10">
      <c r="A120" s="45"/>
      <c r="B120" s="45"/>
      <c r="C120" s="45"/>
      <c r="D120" s="45"/>
      <c r="E120" s="45"/>
      <c r="F120" s="45"/>
      <c r="G120" s="45"/>
      <c r="H120" s="45"/>
      <c r="I120" s="45"/>
      <c r="J120" s="45"/>
    </row>
    <row r="121" ht="15.75" customHeight="1" spans="1:10">
      <c r="A121" s="45"/>
      <c r="B121" s="45"/>
      <c r="C121" s="45"/>
      <c r="D121" s="45"/>
      <c r="E121" s="45"/>
      <c r="F121" s="45"/>
      <c r="G121" s="45"/>
      <c r="H121" s="45"/>
      <c r="I121" s="45"/>
      <c r="J121" s="45"/>
    </row>
    <row r="122" ht="15.75" customHeight="1" spans="1:10">
      <c r="A122" s="45"/>
      <c r="B122" s="45"/>
      <c r="C122" s="45"/>
      <c r="D122" s="45"/>
      <c r="E122" s="45"/>
      <c r="F122" s="45"/>
      <c r="G122" s="45"/>
      <c r="H122" s="45"/>
      <c r="I122" s="45"/>
      <c r="J122" s="45"/>
    </row>
    <row r="123" ht="15.75" customHeight="1" spans="1:10">
      <c r="A123" s="45"/>
      <c r="B123" s="45"/>
      <c r="C123" s="45"/>
      <c r="D123" s="45"/>
      <c r="E123" s="45"/>
      <c r="F123" s="45"/>
      <c r="G123" s="45"/>
      <c r="H123" s="45"/>
      <c r="I123" s="45"/>
      <c r="J123" s="45"/>
    </row>
    <row r="124" ht="15.75" customHeight="1" spans="1:10">
      <c r="A124" s="45"/>
      <c r="B124" s="45"/>
      <c r="C124" s="45"/>
      <c r="D124" s="45"/>
      <c r="E124" s="45"/>
      <c r="F124" s="45"/>
      <c r="G124" s="45"/>
      <c r="H124" s="45"/>
      <c r="I124" s="45"/>
      <c r="J124" s="45"/>
    </row>
    <row r="125" ht="15.75" customHeight="1" spans="1:10">
      <c r="A125" s="45"/>
      <c r="B125" s="45"/>
      <c r="C125" s="45"/>
      <c r="D125" s="45"/>
      <c r="E125" s="45"/>
      <c r="F125" s="45"/>
      <c r="G125" s="45"/>
      <c r="H125" s="45"/>
      <c r="I125" s="45"/>
      <c r="J125" s="45"/>
    </row>
    <row r="126" ht="15.75" customHeight="1" spans="1:10">
      <c r="A126" s="45"/>
      <c r="B126" s="45"/>
      <c r="C126" s="45"/>
      <c r="D126" s="45"/>
      <c r="E126" s="45"/>
      <c r="F126" s="45"/>
      <c r="G126" s="45"/>
      <c r="H126" s="45"/>
      <c r="I126" s="45"/>
      <c r="J126" s="45"/>
    </row>
    <row r="127" ht="15.75" customHeight="1" spans="1:10">
      <c r="A127" s="45"/>
      <c r="B127" s="45"/>
      <c r="C127" s="45"/>
      <c r="D127" s="45"/>
      <c r="E127" s="45"/>
      <c r="F127" s="45"/>
      <c r="G127" s="45"/>
      <c r="H127" s="45"/>
      <c r="I127" s="45"/>
      <c r="J127" s="45"/>
    </row>
    <row r="128" ht="15.75" customHeight="1" spans="1:10">
      <c r="A128" s="45"/>
      <c r="B128" s="45"/>
      <c r="C128" s="45"/>
      <c r="D128" s="45"/>
      <c r="E128" s="45"/>
      <c r="F128" s="45"/>
      <c r="G128" s="45"/>
      <c r="H128" s="45"/>
      <c r="I128" s="45"/>
      <c r="J128" s="45"/>
    </row>
    <row r="129" ht="15.75" customHeight="1" spans="1:10">
      <c r="A129" s="45"/>
      <c r="B129" s="45"/>
      <c r="C129" s="45"/>
      <c r="D129" s="45"/>
      <c r="E129" s="45"/>
      <c r="F129" s="45"/>
      <c r="G129" s="45"/>
      <c r="H129" s="45"/>
      <c r="I129" s="45"/>
      <c r="J129" s="45"/>
    </row>
    <row r="130" ht="15.75" customHeight="1" spans="1:10">
      <c r="A130" s="45"/>
      <c r="B130" s="45"/>
      <c r="C130" s="45"/>
      <c r="D130" s="45"/>
      <c r="E130" s="45"/>
      <c r="F130" s="45"/>
      <c r="G130" s="45"/>
      <c r="H130" s="45"/>
      <c r="I130" s="45"/>
      <c r="J130" s="45"/>
    </row>
    <row r="131" ht="15.75" customHeight="1" spans="1:10">
      <c r="A131" s="45"/>
      <c r="B131" s="45"/>
      <c r="C131" s="45"/>
      <c r="D131" s="45"/>
      <c r="E131" s="45"/>
      <c r="F131" s="45"/>
      <c r="G131" s="45"/>
      <c r="H131" s="45"/>
      <c r="I131" s="45"/>
      <c r="J131" s="45"/>
    </row>
    <row r="132" ht="15.75" customHeight="1" spans="1:10">
      <c r="A132" s="45"/>
      <c r="B132" s="45"/>
      <c r="C132" s="45"/>
      <c r="D132" s="45"/>
      <c r="E132" s="45"/>
      <c r="F132" s="45"/>
      <c r="G132" s="45"/>
      <c r="H132" s="45"/>
      <c r="I132" s="45"/>
      <c r="J132" s="45"/>
    </row>
    <row r="133" ht="15.75" customHeight="1" spans="1:10">
      <c r="A133" s="45"/>
      <c r="B133" s="45"/>
      <c r="C133" s="45"/>
      <c r="D133" s="45"/>
      <c r="E133" s="45"/>
      <c r="F133" s="45"/>
      <c r="G133" s="45"/>
      <c r="H133" s="45"/>
      <c r="I133" s="45"/>
      <c r="J133" s="45"/>
    </row>
    <row r="134" ht="15.75" customHeight="1" spans="1:10">
      <c r="A134" s="45"/>
      <c r="B134" s="45"/>
      <c r="C134" s="45"/>
      <c r="D134" s="45"/>
      <c r="E134" s="45"/>
      <c r="F134" s="45"/>
      <c r="G134" s="45"/>
      <c r="H134" s="45"/>
      <c r="I134" s="45"/>
      <c r="J134" s="45"/>
    </row>
    <row r="135" ht="15.75" customHeight="1" spans="1:10">
      <c r="A135" s="45"/>
      <c r="B135" s="45"/>
      <c r="C135" s="45"/>
      <c r="D135" s="45"/>
      <c r="E135" s="45"/>
      <c r="F135" s="45"/>
      <c r="G135" s="45"/>
      <c r="H135" s="45"/>
      <c r="I135" s="45"/>
      <c r="J135" s="45"/>
    </row>
    <row r="136" ht="15.75" customHeight="1" spans="1:10">
      <c r="A136" s="45"/>
      <c r="B136" s="45"/>
      <c r="C136" s="45"/>
      <c r="D136" s="45"/>
      <c r="E136" s="45"/>
      <c r="F136" s="45"/>
      <c r="G136" s="45"/>
      <c r="H136" s="45"/>
      <c r="I136" s="45"/>
      <c r="J136" s="45"/>
    </row>
    <row r="137" ht="15.75" customHeight="1" spans="1:10">
      <c r="A137" s="45"/>
      <c r="B137" s="45"/>
      <c r="C137" s="45"/>
      <c r="D137" s="45"/>
      <c r="E137" s="45"/>
      <c r="F137" s="45"/>
      <c r="G137" s="45"/>
      <c r="H137" s="45"/>
      <c r="I137" s="45"/>
      <c r="J137" s="45"/>
    </row>
    <row r="138" ht="15.75" customHeight="1" spans="1:10">
      <c r="A138" s="45"/>
      <c r="B138" s="45"/>
      <c r="C138" s="45"/>
      <c r="D138" s="45"/>
      <c r="E138" s="45"/>
      <c r="F138" s="45"/>
      <c r="G138" s="45"/>
      <c r="H138" s="45"/>
      <c r="I138" s="45"/>
      <c r="J138" s="45"/>
    </row>
    <row r="139" ht="15.75" customHeight="1" spans="1:10">
      <c r="A139" s="45"/>
      <c r="B139" s="45"/>
      <c r="C139" s="45"/>
      <c r="D139" s="45"/>
      <c r="E139" s="45"/>
      <c r="F139" s="45"/>
      <c r="G139" s="45"/>
      <c r="H139" s="45"/>
      <c r="I139" s="45"/>
      <c r="J139" s="45"/>
    </row>
    <row r="140" ht="15.75" customHeight="1" spans="1:10">
      <c r="A140" s="45"/>
      <c r="B140" s="45"/>
      <c r="C140" s="45"/>
      <c r="D140" s="45"/>
      <c r="E140" s="45"/>
      <c r="F140" s="45"/>
      <c r="G140" s="45"/>
      <c r="H140" s="45"/>
      <c r="I140" s="45"/>
      <c r="J140" s="45"/>
    </row>
    <row r="141" ht="15.75" customHeight="1" spans="1:10">
      <c r="A141" s="45"/>
      <c r="B141" s="45"/>
      <c r="C141" s="45"/>
      <c r="D141" s="45"/>
      <c r="E141" s="45"/>
      <c r="F141" s="45"/>
      <c r="G141" s="45"/>
      <c r="H141" s="45"/>
      <c r="I141" s="45"/>
      <c r="J141" s="45"/>
    </row>
    <row r="142" ht="15.75" customHeight="1" spans="1:10">
      <c r="A142" s="45"/>
      <c r="B142" s="45"/>
      <c r="C142" s="45"/>
      <c r="D142" s="45"/>
      <c r="E142" s="45"/>
      <c r="F142" s="45"/>
      <c r="G142" s="45"/>
      <c r="H142" s="45"/>
      <c r="I142" s="45"/>
      <c r="J142" s="45"/>
    </row>
    <row r="143" ht="15.75" customHeight="1" spans="1:10">
      <c r="A143" s="45"/>
      <c r="B143" s="45"/>
      <c r="C143" s="45"/>
      <c r="D143" s="45"/>
      <c r="E143" s="45"/>
      <c r="F143" s="45"/>
      <c r="G143" s="45"/>
      <c r="H143" s="45"/>
      <c r="I143" s="45"/>
      <c r="J143" s="45"/>
    </row>
    <row r="144" ht="15.75" customHeight="1" spans="1:10">
      <c r="A144" s="45"/>
      <c r="B144" s="45"/>
      <c r="C144" s="45"/>
      <c r="D144" s="45"/>
      <c r="E144" s="45"/>
      <c r="F144" s="45"/>
      <c r="G144" s="45"/>
      <c r="H144" s="45"/>
      <c r="I144" s="45"/>
      <c r="J144" s="45"/>
    </row>
    <row r="145" ht="15.75" customHeight="1" spans="1:10">
      <c r="A145" s="45"/>
      <c r="B145" s="45"/>
      <c r="C145" s="45"/>
      <c r="D145" s="45"/>
      <c r="E145" s="45"/>
      <c r="F145" s="45"/>
      <c r="G145" s="45"/>
      <c r="H145" s="45"/>
      <c r="I145" s="45"/>
      <c r="J145" s="45"/>
    </row>
    <row r="146" ht="15.75" customHeight="1" spans="1:10">
      <c r="A146" s="45"/>
      <c r="B146" s="45"/>
      <c r="C146" s="45"/>
      <c r="D146" s="45"/>
      <c r="E146" s="45"/>
      <c r="F146" s="45"/>
      <c r="G146" s="45"/>
      <c r="H146" s="45"/>
      <c r="I146" s="45"/>
      <c r="J146" s="45"/>
    </row>
    <row r="147" ht="15.75" customHeight="1" spans="1:10">
      <c r="A147" s="45"/>
      <c r="B147" s="45"/>
      <c r="C147" s="45"/>
      <c r="D147" s="45"/>
      <c r="E147" s="45"/>
      <c r="F147" s="45"/>
      <c r="G147" s="45"/>
      <c r="H147" s="45"/>
      <c r="I147" s="45"/>
      <c r="J147" s="45"/>
    </row>
    <row r="148" ht="15.75" customHeight="1" spans="1:10">
      <c r="A148" s="45"/>
      <c r="B148" s="45"/>
      <c r="C148" s="45"/>
      <c r="D148" s="45"/>
      <c r="E148" s="45"/>
      <c r="F148" s="45"/>
      <c r="G148" s="45"/>
      <c r="H148" s="45"/>
      <c r="I148" s="45"/>
      <c r="J148" s="45"/>
    </row>
    <row r="149" ht="15.75" customHeight="1" spans="1:10">
      <c r="A149" s="45"/>
      <c r="B149" s="45"/>
      <c r="C149" s="45"/>
      <c r="D149" s="45"/>
      <c r="E149" s="45"/>
      <c r="F149" s="45"/>
      <c r="G149" s="45"/>
      <c r="H149" s="45"/>
      <c r="I149" s="45"/>
      <c r="J149" s="45"/>
    </row>
    <row r="150" ht="15.75" customHeight="1" spans="1:10">
      <c r="A150" s="45"/>
      <c r="B150" s="45"/>
      <c r="C150" s="45"/>
      <c r="D150" s="45"/>
      <c r="E150" s="45"/>
      <c r="F150" s="45"/>
      <c r="G150" s="45"/>
      <c r="H150" s="45"/>
      <c r="I150" s="45"/>
      <c r="J150" s="45"/>
    </row>
    <row r="151" ht="15.75" customHeight="1" spans="1:10">
      <c r="A151" s="45"/>
      <c r="B151" s="45"/>
      <c r="C151" s="45"/>
      <c r="D151" s="45"/>
      <c r="E151" s="45"/>
      <c r="F151" s="45"/>
      <c r="G151" s="45"/>
      <c r="H151" s="45"/>
      <c r="I151" s="45"/>
      <c r="J151" s="45"/>
    </row>
    <row r="152" ht="15.75" customHeight="1" spans="1:10">
      <c r="A152" s="45"/>
      <c r="B152" s="45"/>
      <c r="C152" s="45"/>
      <c r="D152" s="45"/>
      <c r="E152" s="45"/>
      <c r="F152" s="45"/>
      <c r="G152" s="45"/>
      <c r="H152" s="45"/>
      <c r="I152" s="45"/>
      <c r="J152" s="45"/>
    </row>
    <row r="153" ht="15.75" customHeight="1" spans="1:10">
      <c r="A153" s="45"/>
      <c r="B153" s="45"/>
      <c r="C153" s="45"/>
      <c r="D153" s="45"/>
      <c r="E153" s="45"/>
      <c r="F153" s="45"/>
      <c r="G153" s="45"/>
      <c r="H153" s="45"/>
      <c r="I153" s="45"/>
      <c r="J153" s="45"/>
    </row>
    <row r="154" ht="15.75" customHeight="1" spans="1:10">
      <c r="A154" s="45"/>
      <c r="B154" s="45"/>
      <c r="C154" s="45"/>
      <c r="D154" s="45"/>
      <c r="E154" s="45"/>
      <c r="F154" s="45"/>
      <c r="G154" s="45"/>
      <c r="H154" s="45"/>
      <c r="I154" s="45"/>
      <c r="J154" s="45"/>
    </row>
    <row r="155" ht="15.75" customHeight="1" spans="1:10">
      <c r="A155" s="45"/>
      <c r="B155" s="45"/>
      <c r="C155" s="45"/>
      <c r="D155" s="45"/>
      <c r="E155" s="45"/>
      <c r="F155" s="45"/>
      <c r="G155" s="45"/>
      <c r="H155" s="45"/>
      <c r="I155" s="45"/>
      <c r="J155" s="45"/>
    </row>
    <row r="156" ht="15.75" customHeight="1" spans="1:10">
      <c r="A156" s="45"/>
      <c r="B156" s="45"/>
      <c r="C156" s="45"/>
      <c r="D156" s="45"/>
      <c r="E156" s="45"/>
      <c r="F156" s="45"/>
      <c r="G156" s="45"/>
      <c r="H156" s="45"/>
      <c r="I156" s="45"/>
      <c r="J156" s="45"/>
    </row>
    <row r="157" ht="15.75" customHeight="1" spans="1:10">
      <c r="A157" s="45"/>
      <c r="B157" s="45"/>
      <c r="C157" s="45"/>
      <c r="D157" s="45"/>
      <c r="E157" s="45"/>
      <c r="F157" s="45"/>
      <c r="G157" s="45"/>
      <c r="H157" s="45"/>
      <c r="I157" s="45"/>
      <c r="J157" s="45"/>
    </row>
    <row r="158" ht="15.75" customHeight="1" spans="1:10">
      <c r="A158" s="45"/>
      <c r="B158" s="45"/>
      <c r="C158" s="45"/>
      <c r="D158" s="45"/>
      <c r="E158" s="45"/>
      <c r="F158" s="45"/>
      <c r="G158" s="45"/>
      <c r="H158" s="45"/>
      <c r="I158" s="45"/>
      <c r="J158" s="45"/>
    </row>
    <row r="159" ht="15.75" customHeight="1" spans="1:10">
      <c r="A159" s="45"/>
      <c r="B159" s="45"/>
      <c r="C159" s="45"/>
      <c r="D159" s="45"/>
      <c r="E159" s="45"/>
      <c r="F159" s="45"/>
      <c r="G159" s="45"/>
      <c r="H159" s="45"/>
      <c r="I159" s="45"/>
      <c r="J159" s="45"/>
    </row>
    <row r="160" ht="15.75" customHeight="1" spans="1:10">
      <c r="A160" s="45"/>
      <c r="B160" s="45"/>
      <c r="C160" s="45"/>
      <c r="D160" s="45"/>
      <c r="E160" s="45"/>
      <c r="F160" s="45"/>
      <c r="G160" s="45"/>
      <c r="H160" s="45"/>
      <c r="I160" s="45"/>
      <c r="J160" s="45"/>
    </row>
    <row r="161" ht="15.75" customHeight="1" spans="1:10">
      <c r="A161" s="45"/>
      <c r="B161" s="45"/>
      <c r="C161" s="45"/>
      <c r="D161" s="45"/>
      <c r="E161" s="45"/>
      <c r="F161" s="45"/>
      <c r="G161" s="45"/>
      <c r="H161" s="45"/>
      <c r="I161" s="45"/>
      <c r="J161" s="45"/>
    </row>
    <row r="162" ht="15.75" customHeight="1" spans="1:10">
      <c r="A162" s="45"/>
      <c r="B162" s="45"/>
      <c r="C162" s="45"/>
      <c r="D162" s="45"/>
      <c r="E162" s="45"/>
      <c r="F162" s="45"/>
      <c r="G162" s="45"/>
      <c r="H162" s="45"/>
      <c r="I162" s="45"/>
      <c r="J162" s="45"/>
    </row>
    <row r="163" ht="15.75" customHeight="1" spans="1:10">
      <c r="A163" s="45"/>
      <c r="B163" s="45"/>
      <c r="C163" s="45"/>
      <c r="D163" s="45"/>
      <c r="E163" s="45"/>
      <c r="F163" s="45"/>
      <c r="G163" s="45"/>
      <c r="H163" s="45"/>
      <c r="I163" s="45"/>
      <c r="J163" s="45"/>
    </row>
    <row r="164" ht="15.75" customHeight="1" spans="1:10">
      <c r="A164" s="45"/>
      <c r="B164" s="45"/>
      <c r="C164" s="45"/>
      <c r="D164" s="45"/>
      <c r="E164" s="45"/>
      <c r="F164" s="45"/>
      <c r="G164" s="45"/>
      <c r="H164" s="45"/>
      <c r="I164" s="45"/>
      <c r="J164" s="45"/>
    </row>
    <row r="165" ht="15.75" customHeight="1" spans="1:10">
      <c r="A165" s="45"/>
      <c r="B165" s="45"/>
      <c r="C165" s="45"/>
      <c r="D165" s="45"/>
      <c r="E165" s="45"/>
      <c r="F165" s="45"/>
      <c r="G165" s="45"/>
      <c r="H165" s="45"/>
      <c r="I165" s="45"/>
      <c r="J165" s="45"/>
    </row>
    <row r="166" ht="15.75" customHeight="1" spans="1:10">
      <c r="A166" s="45"/>
      <c r="B166" s="45"/>
      <c r="C166" s="45"/>
      <c r="D166" s="45"/>
      <c r="E166" s="45"/>
      <c r="F166" s="45"/>
      <c r="G166" s="45"/>
      <c r="H166" s="45"/>
      <c r="I166" s="45"/>
      <c r="J166" s="45"/>
    </row>
    <row r="167" ht="15.75" customHeight="1" spans="1:10">
      <c r="A167" s="45"/>
      <c r="B167" s="45"/>
      <c r="C167" s="45"/>
      <c r="D167" s="45"/>
      <c r="E167" s="45"/>
      <c r="F167" s="45"/>
      <c r="G167" s="45"/>
      <c r="H167" s="45"/>
      <c r="I167" s="45"/>
      <c r="J167" s="45"/>
    </row>
    <row r="168" ht="15.75" customHeight="1" spans="1:10">
      <c r="A168" s="45"/>
      <c r="B168" s="45"/>
      <c r="C168" s="45"/>
      <c r="D168" s="45"/>
      <c r="E168" s="45"/>
      <c r="F168" s="45"/>
      <c r="G168" s="45"/>
      <c r="H168" s="45"/>
      <c r="I168" s="45"/>
      <c r="J168" s="45"/>
    </row>
    <row r="169" ht="15.75" customHeight="1" spans="1:10">
      <c r="A169" s="45"/>
      <c r="B169" s="45"/>
      <c r="C169" s="45"/>
      <c r="D169" s="45"/>
      <c r="E169" s="45"/>
      <c r="F169" s="45"/>
      <c r="G169" s="45"/>
      <c r="H169" s="45"/>
      <c r="I169" s="45"/>
      <c r="J169" s="45"/>
    </row>
    <row r="170" ht="15.75" customHeight="1" spans="1:10">
      <c r="A170" s="45"/>
      <c r="B170" s="45"/>
      <c r="C170" s="45"/>
      <c r="D170" s="45"/>
      <c r="E170" s="45"/>
      <c r="F170" s="45"/>
      <c r="G170" s="45"/>
      <c r="H170" s="45"/>
      <c r="I170" s="45"/>
      <c r="J170" s="45"/>
    </row>
    <row r="171" ht="15.75" customHeight="1" spans="1:10">
      <c r="A171" s="45"/>
      <c r="B171" s="45"/>
      <c r="C171" s="45"/>
      <c r="D171" s="45"/>
      <c r="E171" s="45"/>
      <c r="F171" s="45"/>
      <c r="G171" s="45"/>
      <c r="H171" s="45"/>
      <c r="I171" s="45"/>
      <c r="J171" s="45"/>
    </row>
    <row r="172" ht="15.75" customHeight="1" spans="1:10">
      <c r="A172" s="45"/>
      <c r="B172" s="45"/>
      <c r="C172" s="45"/>
      <c r="D172" s="45"/>
      <c r="E172" s="45"/>
      <c r="F172" s="45"/>
      <c r="G172" s="45"/>
      <c r="H172" s="45"/>
      <c r="I172" s="45"/>
      <c r="J172" s="45"/>
    </row>
    <row r="173" ht="15.75" customHeight="1" spans="1:10">
      <c r="A173" s="45"/>
      <c r="B173" s="45"/>
      <c r="C173" s="45"/>
      <c r="D173" s="45"/>
      <c r="E173" s="45"/>
      <c r="F173" s="45"/>
      <c r="G173" s="45"/>
      <c r="H173" s="45"/>
      <c r="I173" s="45"/>
      <c r="J173" s="45"/>
    </row>
    <row r="174" ht="15.75" customHeight="1" spans="1:10">
      <c r="A174" s="45"/>
      <c r="B174" s="45"/>
      <c r="C174" s="45"/>
      <c r="D174" s="45"/>
      <c r="E174" s="45"/>
      <c r="F174" s="45"/>
      <c r="G174" s="45"/>
      <c r="H174" s="45"/>
      <c r="I174" s="45"/>
      <c r="J174" s="45"/>
    </row>
    <row r="175" ht="15.75" customHeight="1" spans="1:10">
      <c r="A175" s="45"/>
      <c r="B175" s="45"/>
      <c r="C175" s="45"/>
      <c r="D175" s="45"/>
      <c r="E175" s="45"/>
      <c r="F175" s="45"/>
      <c r="G175" s="45"/>
      <c r="H175" s="45"/>
      <c r="I175" s="45"/>
      <c r="J175" s="45"/>
    </row>
    <row r="176" ht="15.75" customHeight="1" spans="1:10">
      <c r="A176" s="45"/>
      <c r="B176" s="45"/>
      <c r="C176" s="45"/>
      <c r="D176" s="45"/>
      <c r="E176" s="45"/>
      <c r="F176" s="45"/>
      <c r="G176" s="45"/>
      <c r="H176" s="45"/>
      <c r="I176" s="45"/>
      <c r="J176" s="45"/>
    </row>
    <row r="177" ht="15.75" customHeight="1" spans="1:10">
      <c r="A177" s="45"/>
      <c r="B177" s="45"/>
      <c r="C177" s="45"/>
      <c r="D177" s="45"/>
      <c r="E177" s="45"/>
      <c r="F177" s="45"/>
      <c r="G177" s="45"/>
      <c r="H177" s="45"/>
      <c r="I177" s="45"/>
      <c r="J177" s="45"/>
    </row>
    <row r="178" ht="15.75" customHeight="1" spans="1:10">
      <c r="A178" s="45"/>
      <c r="B178" s="45"/>
      <c r="C178" s="45"/>
      <c r="D178" s="45"/>
      <c r="E178" s="45"/>
      <c r="F178" s="45"/>
      <c r="G178" s="45"/>
      <c r="H178" s="45"/>
      <c r="I178" s="45"/>
      <c r="J178" s="45"/>
    </row>
    <row r="179" ht="15.75" customHeight="1" spans="1:10">
      <c r="A179" s="45"/>
      <c r="B179" s="45"/>
      <c r="C179" s="45"/>
      <c r="D179" s="45"/>
      <c r="E179" s="45"/>
      <c r="F179" s="45"/>
      <c r="G179" s="45"/>
      <c r="H179" s="45"/>
      <c r="I179" s="45"/>
      <c r="J179" s="45"/>
    </row>
    <row r="180" ht="15.75" customHeight="1" spans="1:10">
      <c r="A180" s="45"/>
      <c r="B180" s="45"/>
      <c r="C180" s="45"/>
      <c r="D180" s="45"/>
      <c r="E180" s="45"/>
      <c r="F180" s="45"/>
      <c r="G180" s="45"/>
      <c r="H180" s="45"/>
      <c r="I180" s="45"/>
      <c r="J180" s="45"/>
    </row>
    <row r="181" ht="15.75" customHeight="1" spans="1:10">
      <c r="A181" s="45"/>
      <c r="B181" s="45"/>
      <c r="C181" s="45"/>
      <c r="D181" s="45"/>
      <c r="E181" s="45"/>
      <c r="F181" s="45"/>
      <c r="G181" s="45"/>
      <c r="H181" s="45"/>
      <c r="I181" s="45"/>
      <c r="J181" s="45"/>
    </row>
    <row r="182" ht="15.75" customHeight="1" spans="1:10">
      <c r="A182" s="45"/>
      <c r="B182" s="45"/>
      <c r="C182" s="45"/>
      <c r="D182" s="45"/>
      <c r="E182" s="45"/>
      <c r="F182" s="45"/>
      <c r="G182" s="45"/>
      <c r="H182" s="45"/>
      <c r="I182" s="45"/>
      <c r="J182" s="45"/>
    </row>
    <row r="183" ht="15.75" customHeight="1" spans="1:10">
      <c r="A183" s="45"/>
      <c r="B183" s="45"/>
      <c r="C183" s="45"/>
      <c r="D183" s="45"/>
      <c r="E183" s="45"/>
      <c r="F183" s="45"/>
      <c r="G183" s="45"/>
      <c r="H183" s="45"/>
      <c r="I183" s="45"/>
      <c r="J183" s="45"/>
    </row>
    <row r="184" ht="15.75" customHeight="1" spans="1:10">
      <c r="A184" s="45"/>
      <c r="B184" s="45"/>
      <c r="C184" s="45"/>
      <c r="D184" s="45"/>
      <c r="E184" s="45"/>
      <c r="F184" s="45"/>
      <c r="G184" s="45"/>
      <c r="H184" s="45"/>
      <c r="I184" s="45"/>
      <c r="J184" s="45"/>
    </row>
    <row r="185" ht="15.75" customHeight="1" spans="1:10">
      <c r="A185" s="45"/>
      <c r="B185" s="45"/>
      <c r="C185" s="45"/>
      <c r="D185" s="45"/>
      <c r="E185" s="45"/>
      <c r="F185" s="45"/>
      <c r="G185" s="45"/>
      <c r="H185" s="45"/>
      <c r="I185" s="45"/>
      <c r="J185" s="45"/>
    </row>
    <row r="186" ht="15.75" customHeight="1" spans="1:10">
      <c r="A186" s="45"/>
      <c r="B186" s="45"/>
      <c r="C186" s="45"/>
      <c r="D186" s="45"/>
      <c r="E186" s="45"/>
      <c r="F186" s="45"/>
      <c r="G186" s="45"/>
      <c r="H186" s="45"/>
      <c r="I186" s="45"/>
      <c r="J186" s="45"/>
    </row>
    <row r="187" ht="15.75" customHeight="1" spans="1:10">
      <c r="A187" s="45"/>
      <c r="B187" s="45"/>
      <c r="C187" s="45"/>
      <c r="D187" s="45"/>
      <c r="E187" s="45"/>
      <c r="F187" s="45"/>
      <c r="G187" s="45"/>
      <c r="H187" s="45"/>
      <c r="I187" s="45"/>
      <c r="J187" s="45"/>
    </row>
    <row r="188" ht="15.75" customHeight="1" spans="1:10">
      <c r="A188" s="45"/>
      <c r="B188" s="45"/>
      <c r="C188" s="45"/>
      <c r="D188" s="45"/>
      <c r="E188" s="45"/>
      <c r="F188" s="45"/>
      <c r="G188" s="45"/>
      <c r="H188" s="45"/>
      <c r="I188" s="45"/>
      <c r="J188" s="45"/>
    </row>
    <row r="189" ht="15.75" customHeight="1" spans="1:10">
      <c r="A189" s="45"/>
      <c r="B189" s="45"/>
      <c r="C189" s="45"/>
      <c r="D189" s="45"/>
      <c r="E189" s="45"/>
      <c r="F189" s="45"/>
      <c r="G189" s="45"/>
      <c r="H189" s="45"/>
      <c r="I189" s="45"/>
      <c r="J189" s="45"/>
    </row>
    <row r="190" ht="15.75" customHeight="1" spans="1:10">
      <c r="A190" s="45"/>
      <c r="B190" s="45"/>
      <c r="C190" s="45"/>
      <c r="D190" s="45"/>
      <c r="E190" s="45"/>
      <c r="F190" s="45"/>
      <c r="G190" s="45"/>
      <c r="H190" s="45"/>
      <c r="I190" s="45"/>
      <c r="J190" s="45"/>
    </row>
    <row r="191" ht="15.75" customHeight="1" spans="1:10">
      <c r="A191" s="45"/>
      <c r="B191" s="45"/>
      <c r="C191" s="45"/>
      <c r="D191" s="45"/>
      <c r="E191" s="45"/>
      <c r="F191" s="45"/>
      <c r="G191" s="45"/>
      <c r="H191" s="45"/>
      <c r="I191" s="45"/>
      <c r="J191" s="45"/>
    </row>
    <row r="192" ht="15.75" customHeight="1" spans="1:10">
      <c r="A192" s="45"/>
      <c r="B192" s="45"/>
      <c r="C192" s="45"/>
      <c r="D192" s="45"/>
      <c r="E192" s="45"/>
      <c r="F192" s="45"/>
      <c r="G192" s="45"/>
      <c r="H192" s="45"/>
      <c r="I192" s="45"/>
      <c r="J192" s="45"/>
    </row>
    <row r="193" ht="15.75" customHeight="1" spans="1:10">
      <c r="A193" s="45"/>
      <c r="B193" s="45"/>
      <c r="C193" s="45"/>
      <c r="D193" s="45"/>
      <c r="E193" s="45"/>
      <c r="F193" s="45"/>
      <c r="G193" s="45"/>
      <c r="H193" s="45"/>
      <c r="I193" s="45"/>
      <c r="J193" s="45"/>
    </row>
    <row r="194" ht="15.75" customHeight="1" spans="1:10">
      <c r="A194" s="45"/>
      <c r="B194" s="45"/>
      <c r="C194" s="45"/>
      <c r="D194" s="45"/>
      <c r="E194" s="45"/>
      <c r="F194" s="45"/>
      <c r="G194" s="45"/>
      <c r="H194" s="45"/>
      <c r="I194" s="45"/>
      <c r="J194" s="45"/>
    </row>
    <row r="195" ht="15.75" customHeight="1" spans="1:10">
      <c r="A195" s="45"/>
      <c r="B195" s="45"/>
      <c r="C195" s="45"/>
      <c r="D195" s="45"/>
      <c r="E195" s="45"/>
      <c r="F195" s="45"/>
      <c r="G195" s="45"/>
      <c r="H195" s="45"/>
      <c r="I195" s="45"/>
      <c r="J195" s="45"/>
    </row>
    <row r="196" ht="15.75" customHeight="1" spans="1:10">
      <c r="A196" s="45"/>
      <c r="B196" s="45"/>
      <c r="C196" s="45"/>
      <c r="D196" s="45"/>
      <c r="E196" s="45"/>
      <c r="F196" s="45"/>
      <c r="G196" s="45"/>
      <c r="H196" s="45"/>
      <c r="I196" s="45"/>
      <c r="J196" s="45"/>
    </row>
    <row r="197" ht="15.75" customHeight="1" spans="1:10">
      <c r="A197" s="45"/>
      <c r="B197" s="45"/>
      <c r="C197" s="45"/>
      <c r="D197" s="45"/>
      <c r="E197" s="45"/>
      <c r="F197" s="45"/>
      <c r="G197" s="45"/>
      <c r="H197" s="45"/>
      <c r="I197" s="45"/>
      <c r="J197" s="45"/>
    </row>
    <row r="198" ht="15.75" customHeight="1" spans="1:10">
      <c r="A198" s="45"/>
      <c r="B198" s="45"/>
      <c r="C198" s="45"/>
      <c r="D198" s="45"/>
      <c r="E198" s="45"/>
      <c r="F198" s="45"/>
      <c r="G198" s="45"/>
      <c r="H198" s="45"/>
      <c r="I198" s="45"/>
      <c r="J198" s="45"/>
    </row>
    <row r="199" ht="15.75" customHeight="1" spans="1:10">
      <c r="A199" s="45"/>
      <c r="B199" s="45"/>
      <c r="C199" s="45"/>
      <c r="D199" s="45"/>
      <c r="E199" s="45"/>
      <c r="F199" s="45"/>
      <c r="G199" s="45"/>
      <c r="H199" s="45"/>
      <c r="I199" s="45"/>
      <c r="J199" s="45"/>
    </row>
    <row r="200" ht="15.75" customHeight="1" spans="1:10">
      <c r="A200" s="45"/>
      <c r="B200" s="45"/>
      <c r="C200" s="45"/>
      <c r="D200" s="45"/>
      <c r="E200" s="45"/>
      <c r="F200" s="45"/>
      <c r="G200" s="45"/>
      <c r="H200" s="45"/>
      <c r="I200" s="45"/>
      <c r="J200" s="45"/>
    </row>
    <row r="201" ht="15.75" customHeight="1" spans="1:10">
      <c r="A201" s="45"/>
      <c r="B201" s="45"/>
      <c r="C201" s="45"/>
      <c r="D201" s="45"/>
      <c r="E201" s="45"/>
      <c r="F201" s="45"/>
      <c r="G201" s="45"/>
      <c r="H201" s="45"/>
      <c r="I201" s="45"/>
      <c r="J201" s="45"/>
    </row>
    <row r="202" ht="15.75" customHeight="1" spans="1:10">
      <c r="A202" s="45"/>
      <c r="B202" s="45"/>
      <c r="C202" s="45"/>
      <c r="D202" s="45"/>
      <c r="E202" s="45"/>
      <c r="F202" s="45"/>
      <c r="G202" s="45"/>
      <c r="H202" s="45"/>
      <c r="I202" s="45"/>
      <c r="J202" s="45"/>
    </row>
    <row r="203" ht="15.75" customHeight="1" spans="1:10">
      <c r="A203" s="45"/>
      <c r="B203" s="45"/>
      <c r="C203" s="45"/>
      <c r="D203" s="45"/>
      <c r="E203" s="45"/>
      <c r="F203" s="45"/>
      <c r="G203" s="45"/>
      <c r="H203" s="45"/>
      <c r="I203" s="45"/>
      <c r="J203" s="45"/>
    </row>
    <row r="204" ht="15.75" customHeight="1" spans="1:10">
      <c r="A204" s="45"/>
      <c r="B204" s="45"/>
      <c r="C204" s="45"/>
      <c r="D204" s="45"/>
      <c r="E204" s="45"/>
      <c r="F204" s="45"/>
      <c r="G204" s="45"/>
      <c r="H204" s="45"/>
      <c r="I204" s="45"/>
      <c r="J204" s="45"/>
    </row>
    <row r="205" ht="15.75" customHeight="1" spans="1:10">
      <c r="A205" s="45"/>
      <c r="B205" s="45"/>
      <c r="C205" s="45"/>
      <c r="D205" s="45"/>
      <c r="E205" s="45"/>
      <c r="F205" s="45"/>
      <c r="G205" s="45"/>
      <c r="H205" s="45"/>
      <c r="I205" s="45"/>
      <c r="J205" s="45"/>
    </row>
    <row r="206" ht="15.75" customHeight="1" spans="1:10">
      <c r="A206" s="45"/>
      <c r="B206" s="45"/>
      <c r="C206" s="45"/>
      <c r="D206" s="45"/>
      <c r="E206" s="45"/>
      <c r="F206" s="45"/>
      <c r="G206" s="45"/>
      <c r="H206" s="45"/>
      <c r="I206" s="45"/>
      <c r="J206" s="45"/>
    </row>
    <row r="207" ht="15.75" customHeight="1" spans="1:10">
      <c r="A207" s="45"/>
      <c r="B207" s="45"/>
      <c r="C207" s="45"/>
      <c r="D207" s="45"/>
      <c r="E207" s="45"/>
      <c r="F207" s="45"/>
      <c r="G207" s="45"/>
      <c r="H207" s="45"/>
      <c r="I207" s="45"/>
      <c r="J207" s="45"/>
    </row>
    <row r="208" ht="15.75" customHeight="1" spans="1:10">
      <c r="A208" s="45"/>
      <c r="B208" s="45"/>
      <c r="C208" s="45"/>
      <c r="D208" s="45"/>
      <c r="E208" s="45"/>
      <c r="F208" s="45"/>
      <c r="G208" s="45"/>
      <c r="H208" s="45"/>
      <c r="I208" s="45"/>
      <c r="J208" s="45"/>
    </row>
    <row r="209" ht="15.75" customHeight="1" spans="1:10">
      <c r="A209" s="45"/>
      <c r="B209" s="45"/>
      <c r="C209" s="45"/>
      <c r="D209" s="45"/>
      <c r="E209" s="45"/>
      <c r="F209" s="45"/>
      <c r="G209" s="45"/>
      <c r="H209" s="45"/>
      <c r="I209" s="45"/>
      <c r="J209" s="45"/>
    </row>
    <row r="210" ht="15.75" customHeight="1" spans="1:10">
      <c r="A210" s="45"/>
      <c r="B210" s="45"/>
      <c r="C210" s="45"/>
      <c r="D210" s="45"/>
      <c r="E210" s="45"/>
      <c r="F210" s="45"/>
      <c r="G210" s="45"/>
      <c r="H210" s="45"/>
      <c r="I210" s="45"/>
      <c r="J210" s="45"/>
    </row>
    <row r="211" ht="15.75" customHeight="1" spans="1:10">
      <c r="A211" s="45"/>
      <c r="B211" s="45"/>
      <c r="C211" s="45"/>
      <c r="D211" s="45"/>
      <c r="E211" s="45"/>
      <c r="F211" s="45"/>
      <c r="G211" s="45"/>
      <c r="H211" s="45"/>
      <c r="I211" s="45"/>
      <c r="J211" s="45"/>
    </row>
    <row r="212" ht="15.75" customHeight="1" spans="1:10">
      <c r="A212" s="45"/>
      <c r="B212" s="45"/>
      <c r="C212" s="45"/>
      <c r="D212" s="45"/>
      <c r="E212" s="45"/>
      <c r="F212" s="45"/>
      <c r="G212" s="45"/>
      <c r="H212" s="45"/>
      <c r="I212" s="45"/>
      <c r="J212" s="45"/>
    </row>
    <row r="213" ht="15.75" customHeight="1" spans="1:10">
      <c r="A213" s="45"/>
      <c r="B213" s="45"/>
      <c r="C213" s="45"/>
      <c r="D213" s="45"/>
      <c r="E213" s="45"/>
      <c r="F213" s="45"/>
      <c r="G213" s="45"/>
      <c r="H213" s="45"/>
      <c r="I213" s="45"/>
      <c r="J213" s="45"/>
    </row>
    <row r="214" ht="15.75" customHeight="1" spans="1:10">
      <c r="A214" s="45"/>
      <c r="B214" s="45"/>
      <c r="C214" s="45"/>
      <c r="D214" s="45"/>
      <c r="E214" s="45"/>
      <c r="F214" s="45"/>
      <c r="G214" s="45"/>
      <c r="H214" s="45"/>
      <c r="I214" s="45"/>
      <c r="J214" s="45"/>
    </row>
    <row r="215" ht="15.75" customHeight="1" spans="1:10">
      <c r="A215" s="45"/>
      <c r="B215" s="45"/>
      <c r="C215" s="45"/>
      <c r="D215" s="45"/>
      <c r="E215" s="45"/>
      <c r="F215" s="45"/>
      <c r="G215" s="45"/>
      <c r="H215" s="45"/>
      <c r="I215" s="45"/>
      <c r="J215" s="45"/>
    </row>
    <row r="216" ht="15.75" customHeight="1" spans="1:10">
      <c r="A216" s="45"/>
      <c r="B216" s="45"/>
      <c r="C216" s="45"/>
      <c r="D216" s="45"/>
      <c r="E216" s="45"/>
      <c r="F216" s="45"/>
      <c r="G216" s="45"/>
      <c r="H216" s="45"/>
      <c r="I216" s="45"/>
      <c r="J216" s="45"/>
    </row>
    <row r="217" ht="15.75" customHeight="1" spans="1:10">
      <c r="A217" s="45"/>
      <c r="B217" s="45"/>
      <c r="C217" s="45"/>
      <c r="D217" s="45"/>
      <c r="E217" s="45"/>
      <c r="F217" s="45"/>
      <c r="G217" s="45"/>
      <c r="H217" s="45"/>
      <c r="I217" s="45"/>
      <c r="J217" s="45"/>
    </row>
    <row r="218" ht="15.75" customHeight="1" spans="1:10">
      <c r="A218" s="45"/>
      <c r="B218" s="45"/>
      <c r="C218" s="45"/>
      <c r="D218" s="45"/>
      <c r="E218" s="45"/>
      <c r="F218" s="45"/>
      <c r="G218" s="45"/>
      <c r="H218" s="45"/>
      <c r="I218" s="45"/>
      <c r="J218" s="45"/>
    </row>
    <row r="219" ht="15.75" customHeight="1" spans="1:10">
      <c r="A219" s="45"/>
      <c r="B219" s="45"/>
      <c r="C219" s="45"/>
      <c r="D219" s="45"/>
      <c r="E219" s="45"/>
      <c r="F219" s="45"/>
      <c r="G219" s="45"/>
      <c r="H219" s="45"/>
      <c r="I219" s="45"/>
      <c r="J219" s="45"/>
    </row>
    <row r="220" ht="15.75" customHeight="1" spans="1:10">
      <c r="A220" s="45"/>
      <c r="B220" s="45"/>
      <c r="C220" s="45"/>
      <c r="D220" s="45"/>
      <c r="E220" s="45"/>
      <c r="F220" s="45"/>
      <c r="G220" s="45"/>
      <c r="H220" s="45"/>
      <c r="I220" s="45"/>
      <c r="J220" s="45"/>
    </row>
    <row r="221" ht="15.75" customHeight="1" spans="1:10">
      <c r="A221" s="45"/>
      <c r="B221" s="45"/>
      <c r="C221" s="45"/>
      <c r="D221" s="45"/>
      <c r="E221" s="45"/>
      <c r="F221" s="45"/>
      <c r="G221" s="45"/>
      <c r="H221" s="45"/>
      <c r="I221" s="45"/>
      <c r="J221" s="45"/>
    </row>
    <row r="222" ht="15.75" customHeight="1" spans="1:10">
      <c r="A222" s="45"/>
      <c r="B222" s="45"/>
      <c r="C222" s="45"/>
      <c r="D222" s="45"/>
      <c r="E222" s="45"/>
      <c r="F222" s="45"/>
      <c r="G222" s="45"/>
      <c r="H222" s="45"/>
      <c r="I222" s="45"/>
      <c r="J222" s="45"/>
    </row>
    <row r="223" ht="15.75" customHeight="1" spans="1:10">
      <c r="A223" s="45"/>
      <c r="B223" s="45"/>
      <c r="C223" s="45"/>
      <c r="D223" s="45"/>
      <c r="E223" s="45"/>
      <c r="F223" s="45"/>
      <c r="G223" s="45"/>
      <c r="H223" s="45"/>
      <c r="I223" s="45"/>
      <c r="J223" s="45"/>
    </row>
    <row r="224" ht="15.75" customHeight="1" spans="1:10">
      <c r="A224" s="45"/>
      <c r="B224" s="45"/>
      <c r="C224" s="45"/>
      <c r="D224" s="45"/>
      <c r="E224" s="45"/>
      <c r="F224" s="45"/>
      <c r="G224" s="45"/>
      <c r="H224" s="45"/>
      <c r="I224" s="45"/>
      <c r="J224" s="45"/>
    </row>
    <row r="225" ht="15.75" customHeight="1" spans="1:10">
      <c r="A225" s="45"/>
      <c r="B225" s="45"/>
      <c r="C225" s="45"/>
      <c r="D225" s="45"/>
      <c r="E225" s="45"/>
      <c r="F225" s="45"/>
      <c r="G225" s="45"/>
      <c r="H225" s="45"/>
      <c r="I225" s="45"/>
      <c r="J225" s="45"/>
    </row>
    <row r="226" ht="15.75" customHeight="1" spans="1:10">
      <c r="A226" s="45"/>
      <c r="B226" s="45"/>
      <c r="C226" s="45"/>
      <c r="D226" s="45"/>
      <c r="E226" s="45"/>
      <c r="F226" s="45"/>
      <c r="G226" s="45"/>
      <c r="H226" s="45"/>
      <c r="I226" s="45"/>
      <c r="J226" s="45"/>
    </row>
    <row r="227" ht="15.75" customHeight="1" spans="1:10">
      <c r="A227" s="45"/>
      <c r="B227" s="45"/>
      <c r="C227" s="45"/>
      <c r="D227" s="45"/>
      <c r="E227" s="45"/>
      <c r="F227" s="45"/>
      <c r="G227" s="45"/>
      <c r="H227" s="45"/>
      <c r="I227" s="45"/>
      <c r="J227" s="45"/>
    </row>
    <row r="228" ht="15.75" customHeight="1" spans="1:10">
      <c r="A228" s="45"/>
      <c r="B228" s="45"/>
      <c r="C228" s="45"/>
      <c r="D228" s="45"/>
      <c r="E228" s="45"/>
      <c r="F228" s="45"/>
      <c r="G228" s="45"/>
      <c r="H228" s="45"/>
      <c r="I228" s="45"/>
      <c r="J228" s="45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1">
    <mergeCell ref="B3:D3"/>
    <mergeCell ref="B4:D4"/>
    <mergeCell ref="B5:D5"/>
    <mergeCell ref="B6:D6"/>
    <mergeCell ref="B7:D7"/>
    <mergeCell ref="B8:D8"/>
    <mergeCell ref="B11:D11"/>
    <mergeCell ref="F11:J11"/>
    <mergeCell ref="B12:D12"/>
    <mergeCell ref="B13:D13"/>
    <mergeCell ref="B17:D17"/>
    <mergeCell ref="F17:J17"/>
    <mergeCell ref="B18:D18"/>
    <mergeCell ref="B19:D19"/>
    <mergeCell ref="B22:D22"/>
    <mergeCell ref="F22:J22"/>
    <mergeCell ref="B23:D23"/>
    <mergeCell ref="B24:D24"/>
    <mergeCell ref="B27:D27"/>
    <mergeCell ref="F27:J27"/>
    <mergeCell ref="B28:D28"/>
    <mergeCell ref="B29:D29"/>
    <mergeCell ref="F29:J29"/>
    <mergeCell ref="A1:A30"/>
    <mergeCell ref="E3:E29"/>
    <mergeCell ref="B1:E2"/>
    <mergeCell ref="F1:J2"/>
    <mergeCell ref="B9:D10"/>
    <mergeCell ref="B14:D16"/>
    <mergeCell ref="B20:D21"/>
    <mergeCell ref="B25:D26"/>
  </mergeCells>
  <pageMargins left="0.7" right="0.7" top="0.75" bottom="0.75" header="0" footer="0"/>
  <pageSetup paperSize="1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93"/>
  <sheetViews>
    <sheetView topLeftCell="A14" workbookViewId="0">
      <selection activeCell="C14" sqref="C14"/>
    </sheetView>
  </sheetViews>
  <sheetFormatPr defaultColWidth="12.6333333333333" defaultRowHeight="15" customHeight="1"/>
  <cols>
    <col min="1" max="1" width="8.38333333333333" customWidth="1"/>
    <col min="2" max="2" width="7.63333333333333" customWidth="1"/>
    <col min="3" max="3" width="41.75" customWidth="1"/>
    <col min="4" max="4" width="15.1333333333333" customWidth="1"/>
    <col min="5" max="5" width="10.6333333333333" customWidth="1"/>
    <col min="6" max="6" width="11.5" customWidth="1"/>
    <col min="7" max="7" width="20.1333333333333" customWidth="1"/>
    <col min="8" max="8" width="14" customWidth="1"/>
    <col min="9" max="10" width="15" customWidth="1"/>
    <col min="11" max="25" width="7.63333333333333" customWidth="1"/>
  </cols>
  <sheetData>
    <row r="1" ht="29.25" spans="1:1">
      <c r="A1" s="32" t="s">
        <v>202</v>
      </c>
    </row>
    <row r="2" ht="30.75" customHeight="1" spans="1:25">
      <c r="A2" s="33" t="s">
        <v>203</v>
      </c>
      <c r="B2" s="34" t="s">
        <v>204</v>
      </c>
      <c r="C2" s="35" t="s">
        <v>205</v>
      </c>
      <c r="D2" s="36" t="s">
        <v>206</v>
      </c>
      <c r="E2" s="33" t="s">
        <v>207</v>
      </c>
      <c r="F2" s="37" t="s">
        <v>208</v>
      </c>
      <c r="G2" s="36" t="s">
        <v>209</v>
      </c>
      <c r="H2" s="33" t="s">
        <v>210</v>
      </c>
      <c r="I2" s="33" t="s">
        <v>211</v>
      </c>
      <c r="J2" s="33" t="s">
        <v>212</v>
      </c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ht="33" customHeight="1" spans="1:25">
      <c r="A3" s="38"/>
      <c r="B3" s="38">
        <v>1</v>
      </c>
      <c r="C3" s="39" t="s">
        <v>213</v>
      </c>
      <c r="D3" s="38" t="s">
        <v>214</v>
      </c>
      <c r="E3" s="40">
        <v>45850</v>
      </c>
      <c r="F3" s="40">
        <v>45912</v>
      </c>
      <c r="G3" s="38">
        <v>9</v>
      </c>
      <c r="H3" s="39">
        <v>2</v>
      </c>
      <c r="I3" s="38" t="s">
        <v>215</v>
      </c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ht="33" customHeight="1" spans="1:25">
      <c r="A4" s="38"/>
      <c r="B4" s="38">
        <v>1</v>
      </c>
      <c r="C4" s="39" t="s">
        <v>216</v>
      </c>
      <c r="D4" s="38" t="s">
        <v>214</v>
      </c>
      <c r="E4" s="40">
        <v>45850</v>
      </c>
      <c r="F4" s="40">
        <v>45942</v>
      </c>
      <c r="G4" s="38">
        <v>9</v>
      </c>
      <c r="H4" s="38">
        <v>2</v>
      </c>
      <c r="I4" s="38" t="s">
        <v>215</v>
      </c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ht="27" customHeight="1" spans="1:25">
      <c r="A5" s="38"/>
      <c r="B5" s="38">
        <v>1</v>
      </c>
      <c r="C5" s="39" t="s">
        <v>217</v>
      </c>
      <c r="D5" s="38" t="s">
        <v>214</v>
      </c>
      <c r="E5" s="40">
        <v>45881</v>
      </c>
      <c r="F5" s="40">
        <v>45973</v>
      </c>
      <c r="G5" s="38">
        <v>12</v>
      </c>
      <c r="H5" s="38">
        <v>3</v>
      </c>
      <c r="I5" s="38" t="s">
        <v>215</v>
      </c>
      <c r="J5" s="44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ht="27" customHeight="1" spans="1:25">
      <c r="A6" s="38"/>
      <c r="B6" s="38">
        <v>1</v>
      </c>
      <c r="C6" s="39" t="s">
        <v>218</v>
      </c>
      <c r="D6" s="38" t="s">
        <v>214</v>
      </c>
      <c r="E6" s="40">
        <v>45912</v>
      </c>
      <c r="F6" s="40">
        <v>45912</v>
      </c>
      <c r="G6" s="38">
        <v>6</v>
      </c>
      <c r="H6" s="38">
        <v>1</v>
      </c>
      <c r="I6" s="38" t="s">
        <v>215</v>
      </c>
      <c r="J6" s="40" t="s">
        <v>219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ht="12.75" customHeight="1" spans="1:25">
      <c r="A7" s="38"/>
      <c r="B7" s="38"/>
      <c r="C7" s="38"/>
      <c r="D7" s="38"/>
      <c r="E7" s="38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ht="33" customHeight="1" spans="1:25">
      <c r="A8" s="38"/>
      <c r="B8" s="38">
        <v>2</v>
      </c>
      <c r="C8" s="42" t="s">
        <v>220</v>
      </c>
      <c r="D8" s="38" t="s">
        <v>214</v>
      </c>
      <c r="E8" s="40" t="s">
        <v>221</v>
      </c>
      <c r="F8" s="40" t="s">
        <v>221</v>
      </c>
      <c r="G8" s="38">
        <v>9</v>
      </c>
      <c r="H8" s="38">
        <v>2</v>
      </c>
      <c r="I8" s="38" t="s">
        <v>215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ht="28.5" customHeight="1" spans="1:25">
      <c r="A9" s="38"/>
      <c r="B9" s="38">
        <v>2</v>
      </c>
      <c r="C9" s="42" t="s">
        <v>222</v>
      </c>
      <c r="D9" s="38" t="s">
        <v>214</v>
      </c>
      <c r="E9" s="40" t="s">
        <v>223</v>
      </c>
      <c r="F9" s="40" t="s">
        <v>223</v>
      </c>
      <c r="G9" s="39">
        <v>9</v>
      </c>
      <c r="H9" s="39">
        <v>2</v>
      </c>
      <c r="I9" s="38" t="s">
        <v>215</v>
      </c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ht="33.75" customHeight="1" spans="1:25">
      <c r="A10" s="38"/>
      <c r="B10" s="38">
        <v>2</v>
      </c>
      <c r="C10" s="42" t="s">
        <v>224</v>
      </c>
      <c r="D10" s="38" t="s">
        <v>214</v>
      </c>
      <c r="E10" s="40" t="s">
        <v>225</v>
      </c>
      <c r="F10" s="40" t="s">
        <v>225</v>
      </c>
      <c r="G10" s="39">
        <v>6</v>
      </c>
      <c r="H10" s="39">
        <v>1</v>
      </c>
      <c r="I10" s="38" t="s">
        <v>215</v>
      </c>
      <c r="J10" s="4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ht="33.75" customHeight="1" spans="1:25">
      <c r="A11" s="38"/>
      <c r="B11" s="38">
        <v>2</v>
      </c>
      <c r="C11" s="42" t="s">
        <v>226</v>
      </c>
      <c r="D11" s="38" t="s">
        <v>214</v>
      </c>
      <c r="E11" s="40" t="s">
        <v>227</v>
      </c>
      <c r="F11" s="40" t="s">
        <v>227</v>
      </c>
      <c r="G11" s="39">
        <v>9</v>
      </c>
      <c r="H11" s="39">
        <v>2</v>
      </c>
      <c r="I11" s="38" t="s">
        <v>215</v>
      </c>
      <c r="J11" s="40" t="s">
        <v>228</v>
      </c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ht="12.75" customHeight="1" spans="1:25">
      <c r="A12" s="38"/>
      <c r="B12" s="38"/>
      <c r="C12" s="43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ht="33.75" customHeight="1" spans="1:25">
      <c r="A13" s="38"/>
      <c r="B13" s="38">
        <v>3</v>
      </c>
      <c r="C13" s="42" t="s">
        <v>229</v>
      </c>
      <c r="D13" s="38" t="s">
        <v>214</v>
      </c>
      <c r="E13" s="40" t="s">
        <v>230</v>
      </c>
      <c r="F13" s="40" t="s">
        <v>231</v>
      </c>
      <c r="G13" s="38">
        <v>12</v>
      </c>
      <c r="H13" s="38">
        <v>3</v>
      </c>
      <c r="I13" s="38" t="s">
        <v>215</v>
      </c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ht="33.75" customHeight="1" spans="1:25">
      <c r="A14" s="38"/>
      <c r="B14" s="38">
        <v>3</v>
      </c>
      <c r="C14" s="42" t="s">
        <v>232</v>
      </c>
      <c r="D14" s="38" t="s">
        <v>214</v>
      </c>
      <c r="E14" s="40" t="s">
        <v>233</v>
      </c>
      <c r="F14" s="40" t="s">
        <v>234</v>
      </c>
      <c r="G14" s="39">
        <v>12</v>
      </c>
      <c r="H14" s="39">
        <v>3</v>
      </c>
      <c r="I14" s="38" t="s">
        <v>215</v>
      </c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ht="33.75" customHeight="1" spans="1:25">
      <c r="A15" s="38"/>
      <c r="B15" s="38">
        <v>3</v>
      </c>
      <c r="C15" s="42" t="s">
        <v>235</v>
      </c>
      <c r="D15" s="38" t="s">
        <v>214</v>
      </c>
      <c r="E15" s="40" t="s">
        <v>236</v>
      </c>
      <c r="F15" s="40" t="s">
        <v>236</v>
      </c>
      <c r="G15" s="38">
        <v>9</v>
      </c>
      <c r="H15" s="38">
        <v>2</v>
      </c>
      <c r="I15" s="38" t="s">
        <v>215</v>
      </c>
      <c r="J15" s="44" t="s">
        <v>237</v>
      </c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ht="13.5" customHeight="1" spans="1:25">
      <c r="A16" s="38"/>
      <c r="B16" s="38"/>
      <c r="C16" s="43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ht="33.75" customHeight="1" spans="1:25">
      <c r="A17" s="38"/>
      <c r="B17" s="38">
        <v>4</v>
      </c>
      <c r="C17" s="42" t="s">
        <v>238</v>
      </c>
      <c r="D17" s="38" t="s">
        <v>214</v>
      </c>
      <c r="E17" s="40" t="s">
        <v>239</v>
      </c>
      <c r="F17" s="40" t="s">
        <v>239</v>
      </c>
      <c r="G17" s="39">
        <v>9</v>
      </c>
      <c r="H17" s="39">
        <v>2</v>
      </c>
      <c r="I17" s="38" t="s">
        <v>215</v>
      </c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ht="33.75" customHeight="1" spans="1:25">
      <c r="A18" s="38"/>
      <c r="B18" s="38">
        <v>4</v>
      </c>
      <c r="C18" s="42" t="s">
        <v>240</v>
      </c>
      <c r="D18" s="38" t="s">
        <v>214</v>
      </c>
      <c r="E18" s="40" t="s">
        <v>241</v>
      </c>
      <c r="F18" s="40" t="s">
        <v>241</v>
      </c>
      <c r="G18" s="39">
        <v>6</v>
      </c>
      <c r="H18" s="39">
        <v>1</v>
      </c>
      <c r="I18" s="38" t="s">
        <v>215</v>
      </c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ht="33.75" customHeight="1" spans="1:25">
      <c r="A19" s="38"/>
      <c r="B19" s="38">
        <v>4</v>
      </c>
      <c r="C19" s="42" t="s">
        <v>242</v>
      </c>
      <c r="D19" s="38" t="s">
        <v>214</v>
      </c>
      <c r="E19" s="40" t="s">
        <v>243</v>
      </c>
      <c r="F19" s="40" t="s">
        <v>243</v>
      </c>
      <c r="G19" s="39">
        <v>6</v>
      </c>
      <c r="H19" s="39">
        <v>1</v>
      </c>
      <c r="I19" s="38" t="s">
        <v>215</v>
      </c>
      <c r="J19" s="44">
        <v>46082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ht="33.75" customHeight="1" spans="1:25">
      <c r="A20" s="38"/>
      <c r="B20" s="38"/>
      <c r="C20" s="43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ht="33.75" customHeight="1" spans="1:25">
      <c r="A21" s="38"/>
      <c r="B21" s="38"/>
      <c r="C21" s="43"/>
      <c r="D21" s="38"/>
      <c r="E21" s="44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ht="33.75" customHeight="1" spans="1:25">
      <c r="A22" s="38"/>
      <c r="B22" s="38"/>
      <c r="C22" s="43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ht="33.75" customHeight="1" spans="1:25">
      <c r="A23" s="38"/>
      <c r="B23" s="38"/>
      <c r="C23" s="43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ht="33.75" customHeight="1" spans="1:25">
      <c r="A24" s="38"/>
      <c r="B24" s="38"/>
      <c r="C24" s="43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ht="33.75" customHeight="1" spans="1:25">
      <c r="A25" s="38"/>
      <c r="B25" s="38"/>
      <c r="C25" s="38"/>
      <c r="D25" s="38"/>
      <c r="E25" s="38"/>
      <c r="F25" s="44"/>
      <c r="G25" s="38"/>
      <c r="H25" s="38"/>
      <c r="I25" s="38"/>
      <c r="J25" s="44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ht="33.75" customHeight="1" spans="1:25">
      <c r="A26" s="38"/>
      <c r="B26" s="38"/>
      <c r="C26" s="43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ht="33.75" customHeight="1" spans="1:25">
      <c r="A27" s="38"/>
      <c r="B27" s="38"/>
      <c r="C27" s="38"/>
      <c r="D27" s="38"/>
      <c r="E27" s="44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ht="33.75" customHeight="1" spans="1: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ht="33.75" customHeight="1" spans="1:25">
      <c r="A29" s="38"/>
      <c r="B29" s="38"/>
      <c r="C29" s="43"/>
      <c r="D29" s="38"/>
      <c r="E29" s="38"/>
      <c r="F29" s="44"/>
      <c r="G29" s="38"/>
      <c r="H29" s="38"/>
      <c r="I29" s="38"/>
      <c r="J29" s="44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ht="36" customHeight="1" spans="1: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ht="36" customHeight="1" spans="1:25">
      <c r="A31" s="38"/>
      <c r="B31" s="38"/>
      <c r="C31" s="43"/>
      <c r="D31" s="38"/>
      <c r="E31" s="44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ht="36" customHeight="1" spans="1:25">
      <c r="A32" s="38"/>
      <c r="B32" s="38"/>
      <c r="C32" s="43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ht="36" customHeight="1" spans="1:25">
      <c r="A33" s="38"/>
      <c r="B33" s="38"/>
      <c r="C33" s="43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ht="36" customHeight="1" spans="1:25">
      <c r="A34" s="38"/>
      <c r="B34" s="38"/>
      <c r="C34" s="43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 ht="36" customHeight="1" spans="1:25">
      <c r="A35" s="38"/>
      <c r="B35" s="38"/>
      <c r="C35" s="43"/>
      <c r="D35" s="38"/>
      <c r="E35" s="38"/>
      <c r="F35" s="44"/>
      <c r="G35" s="38"/>
      <c r="H35" s="38"/>
      <c r="I35" s="38"/>
      <c r="J35" s="44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 ht="36" customHeight="1" spans="1:2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</row>
    <row r="37" ht="36" customHeight="1" spans="1:2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</row>
    <row r="38" ht="36" customHeight="1" spans="1:2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</row>
    <row r="39" ht="15.75" customHeight="1" spans="1: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</row>
    <row r="40" ht="15.75" customHeight="1" spans="1: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</row>
    <row r="41" ht="15.75" customHeight="1" spans="1: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</row>
    <row r="42" ht="15.75" customHeight="1" spans="1: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</row>
    <row r="43" ht="15.75" customHeight="1" spans="1: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</row>
    <row r="44" ht="15.75" customHeight="1" spans="1:2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</row>
    <row r="45" ht="15.75" customHeight="1" spans="1:2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</row>
    <row r="46" ht="15.75" customHeight="1" spans="1:2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</row>
    <row r="47" ht="15.75" customHeight="1" spans="1:2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</row>
    <row r="48" ht="15.75" customHeight="1" spans="1:2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</row>
    <row r="49" ht="15.75" customHeight="1" spans="1:2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</row>
    <row r="50" ht="15.75" customHeight="1" spans="1:2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</row>
    <row r="51" ht="15.75" customHeight="1" spans="1:2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</row>
    <row r="52" ht="15.75" customHeight="1" spans="1:2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</row>
    <row r="53" ht="15.75" customHeight="1" spans="1:2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</row>
    <row r="54" ht="15.75" customHeight="1" spans="1:2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</row>
    <row r="55" ht="15.75" customHeight="1" spans="1:2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</row>
    <row r="56" ht="15.75" customHeight="1" spans="1:2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</row>
    <row r="57" ht="15.75" customHeight="1" spans="1:2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</row>
    <row r="58" ht="15.75" customHeight="1" spans="1:2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</row>
    <row r="59" ht="15.75" customHeight="1" spans="1:2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</row>
    <row r="60" ht="15.75" customHeight="1" spans="1:2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</row>
    <row r="61" ht="15.75" customHeight="1" spans="1:2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</row>
    <row r="62" ht="15.75" customHeight="1" spans="1:2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</row>
    <row r="63" ht="15.75" customHeight="1" spans="1:2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</row>
    <row r="64" ht="15.75" customHeight="1" spans="1:2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ht="15.75" customHeight="1" spans="1:2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</row>
    <row r="66" ht="15.75" customHeight="1" spans="1:2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</row>
    <row r="67" ht="15.75" customHeight="1" spans="1:2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</row>
    <row r="68" ht="15.75" customHeight="1" spans="1:2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</row>
    <row r="69" ht="15.75" customHeight="1" spans="1:2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ht="15.75" customHeight="1" spans="1:2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</row>
    <row r="71" ht="15.75" customHeight="1" spans="1:2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</row>
    <row r="72" ht="15.75" customHeight="1" spans="1:2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</row>
    <row r="73" ht="15.75" customHeight="1" spans="1:2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</row>
    <row r="74" ht="15.75" customHeight="1" spans="1:2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ht="15.75" customHeight="1" spans="1:2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</row>
    <row r="76" ht="15.75" customHeight="1" spans="1:2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</row>
    <row r="77" ht="15.75" customHeight="1" spans="1:2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</row>
    <row r="78" ht="15.75" customHeight="1" spans="1:2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</row>
    <row r="79" ht="15.75" customHeight="1" spans="1:2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ht="15.75" customHeight="1" spans="1:2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</row>
    <row r="81" ht="15.75" customHeight="1" spans="1:2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</row>
    <row r="82" ht="15.75" customHeight="1" spans="1:2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</row>
    <row r="83" ht="15.75" customHeight="1" spans="1:2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</row>
    <row r="84" ht="15.75" customHeight="1" spans="1:2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ht="15.75" customHeight="1" spans="1:2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</row>
    <row r="86" ht="15.75" customHeight="1" spans="1:2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</row>
    <row r="87" ht="15.75" customHeight="1" spans="1:2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</row>
    <row r="88" ht="15.75" customHeight="1" spans="1:2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</row>
    <row r="89" ht="15.75" customHeight="1" spans="1:2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</row>
    <row r="90" ht="15.75" customHeight="1" spans="1:2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</row>
    <row r="91" ht="15.75" customHeight="1" spans="1:2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</row>
    <row r="92" ht="15.75" customHeight="1" spans="1:2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</row>
    <row r="93" ht="15.75" customHeight="1" spans="1:2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</row>
    <row r="94" ht="15.75" customHeight="1" spans="1:2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</row>
    <row r="95" ht="15.75" customHeight="1" spans="1:2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</row>
    <row r="96" ht="15.75" customHeight="1" spans="1:2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</row>
    <row r="97" ht="15.75" customHeight="1" spans="1:2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</row>
    <row r="98" ht="15.75" customHeight="1" spans="1:2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</row>
    <row r="99" ht="15.75" customHeight="1" spans="1:2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</row>
    <row r="100" ht="15.75" customHeight="1" spans="1:2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</row>
    <row r="101" ht="15.75" customHeight="1" spans="1:2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</row>
    <row r="102" ht="15.75" customHeight="1" spans="1:2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</row>
    <row r="103" ht="15.75" customHeight="1" spans="1:2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</row>
    <row r="104" ht="15.75" customHeight="1" spans="1:2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</row>
    <row r="105" ht="15.75" customHeight="1" spans="1:2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</row>
    <row r="106" ht="15.75" customHeight="1" spans="1:2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</row>
    <row r="107" ht="15.75" customHeight="1" spans="1:2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</row>
    <row r="108" ht="15.75" customHeight="1" spans="1:2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</row>
    <row r="109" ht="15.75" customHeight="1" spans="1:2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</row>
    <row r="110" ht="15.75" customHeight="1" spans="1:2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</row>
    <row r="111" ht="15.75" customHeight="1" spans="1:2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</row>
    <row r="112" ht="15.75" customHeight="1" spans="1:2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</row>
    <row r="113" ht="15.75" customHeight="1" spans="1:2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</row>
    <row r="114" ht="15.75" customHeight="1" spans="1:2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</row>
    <row r="115" ht="15.75" customHeight="1" spans="1:2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</row>
    <row r="116" ht="15.75" customHeight="1" spans="1:2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</row>
    <row r="117" ht="15.75" customHeight="1" spans="1:2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</row>
    <row r="118" ht="15.75" customHeight="1" spans="1:2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</row>
    <row r="119" ht="15.75" customHeight="1" spans="1:2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</row>
    <row r="120" ht="15.75" customHeight="1" spans="1:2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</row>
    <row r="121" ht="15.75" customHeight="1" spans="1:2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</row>
    <row r="122" ht="15.75" customHeight="1" spans="1:2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</row>
    <row r="123" ht="15.75" customHeight="1" spans="1:2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</row>
    <row r="124" ht="15.75" customHeight="1" spans="1:2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</row>
    <row r="125" ht="15.75" customHeight="1" spans="1: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</row>
    <row r="126" ht="15.75" customHeight="1" spans="1:2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</row>
    <row r="127" ht="15.75" customHeight="1" spans="1:2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</row>
    <row r="128" ht="15.75" customHeight="1" spans="1:2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</row>
    <row r="129" ht="15.75" customHeight="1" spans="1:2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</row>
    <row r="130" ht="15.75" customHeight="1" spans="1:2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</row>
    <row r="131" ht="15.75" customHeight="1" spans="1:2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</row>
    <row r="132" ht="15.75" customHeight="1" spans="1:2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</row>
    <row r="133" ht="15.75" customHeight="1" spans="1:2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</row>
    <row r="134" ht="15.75" customHeight="1" spans="1:2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</row>
    <row r="135" ht="15.75" customHeight="1" spans="1:2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</row>
    <row r="136" ht="15.75" customHeight="1" spans="1:2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</row>
    <row r="137" ht="15.75" customHeight="1" spans="1:2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</row>
    <row r="138" ht="15.75" customHeight="1" spans="1:2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</row>
    <row r="139" ht="15.75" customHeight="1" spans="1:2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</row>
    <row r="140" ht="15.75" customHeight="1" spans="1:2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</row>
    <row r="141" ht="15.75" customHeight="1" spans="1:2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</row>
    <row r="142" ht="15.75" customHeight="1" spans="1:2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</row>
    <row r="143" ht="15.75" customHeight="1" spans="1:2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</row>
    <row r="144" ht="15.75" customHeight="1" spans="1:2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</row>
    <row r="145" ht="15.75" customHeight="1" spans="1:2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</row>
    <row r="146" ht="15.75" customHeight="1" spans="1:2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</row>
    <row r="147" ht="15.75" customHeight="1" spans="1:2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</row>
    <row r="148" ht="15.75" customHeight="1" spans="1:2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</row>
    <row r="149" ht="15.75" customHeight="1" spans="1:2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</row>
    <row r="150" ht="15.75" customHeight="1" spans="1: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</row>
    <row r="151" ht="15.75" customHeight="1" spans="1:2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</row>
    <row r="152" ht="15.75" customHeight="1" spans="1:2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</row>
    <row r="153" ht="15.75" customHeight="1" spans="1:2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</row>
    <row r="154" ht="15.75" customHeight="1" spans="1:2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</row>
    <row r="155" ht="15.75" customHeight="1" spans="1:2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</row>
    <row r="156" ht="15.75" customHeight="1" spans="1:2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</row>
    <row r="157" ht="15.75" customHeight="1" spans="1:2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</row>
    <row r="158" ht="15.75" customHeight="1" spans="1:2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</row>
    <row r="159" ht="15.75" customHeight="1" spans="1:2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</row>
    <row r="160" ht="15.75" customHeight="1" spans="1:2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</row>
    <row r="161" ht="15.75" customHeight="1" spans="1:2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</row>
    <row r="162" ht="15.75" customHeight="1" spans="1:2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</row>
    <row r="163" ht="15.75" customHeight="1" spans="1:2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</row>
    <row r="164" ht="15.75" customHeight="1" spans="1:2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</row>
    <row r="165" ht="15.75" customHeight="1" spans="1:2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</row>
    <row r="166" ht="15.75" customHeight="1" spans="1:2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</row>
    <row r="167" ht="15.75" customHeight="1" spans="1:2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</row>
    <row r="168" ht="15.75" customHeight="1" spans="1:2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</row>
    <row r="169" ht="15.75" customHeight="1" spans="1:2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</row>
    <row r="170" ht="15.75" customHeight="1" spans="1:2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</row>
    <row r="171" ht="15.75" customHeight="1" spans="1:2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</row>
    <row r="172" ht="15.75" customHeight="1" spans="1:2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</row>
    <row r="173" ht="15.75" customHeight="1" spans="1:2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</row>
    <row r="174" ht="15.75" customHeight="1" spans="1:2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</row>
    <row r="175" ht="15.75" customHeight="1" spans="1:2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</row>
    <row r="176" ht="15.75" customHeight="1" spans="1:2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</row>
    <row r="177" ht="15.75" customHeight="1" spans="1:2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</row>
    <row r="178" ht="15.75" customHeight="1" spans="1:2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</row>
    <row r="179" ht="15.75" customHeight="1" spans="1:2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</row>
    <row r="180" ht="15.75" customHeight="1" spans="1:2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</row>
    <row r="181" ht="15.75" customHeight="1" spans="1:2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</row>
    <row r="182" ht="15.75" customHeight="1" spans="1:2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</row>
    <row r="183" ht="15.75" customHeight="1" spans="1:2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</row>
    <row r="184" ht="15.75" customHeight="1" spans="1:2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</row>
    <row r="185" ht="15.75" customHeight="1" spans="1:2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</row>
    <row r="186" ht="15.75" customHeight="1" spans="1:2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</row>
    <row r="187" ht="15.75" customHeight="1" spans="1: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</row>
    <row r="188" ht="15.75" customHeight="1" spans="1:2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</row>
    <row r="189" ht="15.75" customHeight="1" spans="1:2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</row>
    <row r="190" ht="15.75" customHeight="1" spans="1:2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</row>
    <row r="191" ht="15.75" customHeight="1" spans="1:2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</row>
    <row r="192" ht="15.75" customHeight="1" spans="1:2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</row>
    <row r="193" ht="15.75" customHeight="1" spans="1:2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</row>
    <row r="194" ht="15.75" customHeight="1" spans="1:2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</row>
    <row r="195" ht="15.75" customHeight="1" spans="1:2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</row>
    <row r="196" ht="15.75" customHeight="1" spans="1:2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</row>
    <row r="197" ht="15.75" customHeight="1" spans="1:2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</row>
    <row r="198" ht="15.75" customHeight="1" spans="1:2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</row>
    <row r="199" ht="15.75" customHeight="1" spans="1:2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</row>
    <row r="200" ht="15.75" customHeight="1" spans="1:2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</row>
    <row r="201" ht="15.75" customHeight="1" spans="1:2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</row>
    <row r="202" ht="15.75" customHeight="1" spans="1:2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</row>
    <row r="203" ht="15.75" customHeight="1" spans="1: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</row>
    <row r="204" ht="15.75" customHeight="1" spans="1:2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</row>
    <row r="205" ht="15.75" customHeight="1" spans="1:2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</row>
    <row r="206" ht="15.75" customHeight="1" spans="1:2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</row>
    <row r="207" ht="15.75" customHeight="1" spans="1:2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</row>
    <row r="208" ht="15.75" customHeight="1" spans="1:2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</row>
    <row r="209" ht="15.75" customHeight="1" spans="1:2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</row>
    <row r="210" ht="15.75" customHeight="1" spans="1:2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</row>
    <row r="211" ht="15.75" customHeight="1" spans="1:2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</row>
    <row r="212" ht="15.75" customHeight="1" spans="1:2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</row>
    <row r="213" ht="15.75" customHeight="1" spans="1:2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</row>
    <row r="214" ht="15.75" customHeight="1" spans="1:25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</row>
    <row r="215" ht="15.75" customHeight="1" spans="1:2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</row>
    <row r="216" ht="15.75" customHeight="1" spans="1:2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</row>
    <row r="217" ht="15.75" customHeight="1" spans="1:2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</row>
    <row r="218" ht="15.75" customHeight="1" spans="1:2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</row>
    <row r="219" ht="15.75" customHeight="1" spans="1:2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1:Y1"/>
  </mergeCells>
  <pageMargins left="0.7" right="0.7" top="0.75" bottom="0.75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A21" workbookViewId="0">
      <selection activeCell="A1" sqref="A1:A206"/>
    </sheetView>
  </sheetViews>
  <sheetFormatPr defaultColWidth="12.6333333333333" defaultRowHeight="15" customHeight="1"/>
  <cols>
    <col min="1" max="1" width="3.13333333333333" customWidth="1"/>
    <col min="2" max="2" width="36" customWidth="1"/>
    <col min="3" max="3" width="12.6333333333333" customWidth="1"/>
    <col min="4" max="4" width="28.3833333333333" customWidth="1"/>
    <col min="5" max="5" width="16.3833333333333" customWidth="1"/>
    <col min="6" max="6" width="17.5" customWidth="1"/>
    <col min="7" max="7" width="8.25" customWidth="1"/>
    <col min="8" max="9" width="7.63333333333333" customWidth="1"/>
    <col min="10" max="10" width="8.38333333333333" customWidth="1"/>
    <col min="11" max="11" width="7.63333333333333" customWidth="1"/>
    <col min="12" max="12" width="15" customWidth="1"/>
    <col min="13" max="26" width="7.63333333333333" customWidth="1"/>
  </cols>
  <sheetData>
    <row r="1" ht="36.75" customHeight="1" spans="1:2">
      <c r="A1" s="1"/>
      <c r="B1" s="1" t="s">
        <v>244</v>
      </c>
    </row>
    <row r="2" ht="33.75" customHeight="1" spans="2:13">
      <c r="B2" s="2" t="s">
        <v>245</v>
      </c>
      <c r="C2" s="3" t="s">
        <v>210</v>
      </c>
      <c r="D2" s="2" t="s">
        <v>246</v>
      </c>
      <c r="E2" s="2" t="s">
        <v>211</v>
      </c>
      <c r="F2" s="3" t="s">
        <v>247</v>
      </c>
      <c r="G2" s="2" t="s">
        <v>248</v>
      </c>
      <c r="H2" s="2" t="s">
        <v>249</v>
      </c>
      <c r="I2" s="2" t="s">
        <v>250</v>
      </c>
      <c r="J2" s="2" t="s">
        <v>251</v>
      </c>
      <c r="K2" s="2" t="s">
        <v>252</v>
      </c>
      <c r="L2" s="3" t="s">
        <v>253</v>
      </c>
      <c r="M2" s="12"/>
    </row>
    <row r="3" ht="24.75" customHeight="1" spans="2:12">
      <c r="B3" s="4" t="s">
        <v>254</v>
      </c>
      <c r="C3" s="5">
        <v>1.5</v>
      </c>
      <c r="D3" s="6"/>
      <c r="E3" s="4"/>
      <c r="F3" s="4">
        <v>9</v>
      </c>
      <c r="G3" s="6"/>
      <c r="H3" s="6"/>
      <c r="I3" s="6"/>
      <c r="J3" s="6"/>
      <c r="K3" s="6"/>
      <c r="L3" s="6"/>
    </row>
    <row r="4" ht="20.25" customHeight="1" spans="2:12">
      <c r="B4" s="9" t="s">
        <v>255</v>
      </c>
      <c r="C4" s="8"/>
      <c r="D4" s="9" t="s">
        <v>256</v>
      </c>
      <c r="E4" s="4" t="s">
        <v>257</v>
      </c>
      <c r="F4" s="10">
        <v>1.5</v>
      </c>
      <c r="G4" s="24">
        <v>0.5</v>
      </c>
      <c r="H4" s="24">
        <v>0.5</v>
      </c>
      <c r="I4" s="25">
        <v>0.5</v>
      </c>
      <c r="J4" s="25">
        <v>0</v>
      </c>
      <c r="K4" s="25">
        <v>0</v>
      </c>
      <c r="L4" s="30">
        <v>1.5</v>
      </c>
    </row>
    <row r="5" ht="21.75" customHeight="1" spans="2:12">
      <c r="B5" s="9" t="s">
        <v>258</v>
      </c>
      <c r="C5" s="8"/>
      <c r="D5" s="9" t="s">
        <v>256</v>
      </c>
      <c r="E5" s="4" t="s">
        <v>257</v>
      </c>
      <c r="F5" s="10">
        <v>3</v>
      </c>
      <c r="G5" s="24">
        <v>0</v>
      </c>
      <c r="H5" s="24">
        <v>0.5</v>
      </c>
      <c r="I5" s="25">
        <v>1</v>
      </c>
      <c r="J5" s="25">
        <v>1</v>
      </c>
      <c r="K5" s="25">
        <v>0</v>
      </c>
      <c r="L5" s="30">
        <v>2.5</v>
      </c>
    </row>
    <row r="6" ht="20.25" customHeight="1" spans="2:12">
      <c r="B6" s="9" t="s">
        <v>259</v>
      </c>
      <c r="C6" s="8"/>
      <c r="D6" s="9" t="s">
        <v>256</v>
      </c>
      <c r="E6" s="4" t="s">
        <v>257</v>
      </c>
      <c r="F6" s="10">
        <v>2</v>
      </c>
      <c r="G6" s="25">
        <v>0</v>
      </c>
      <c r="H6" s="24">
        <v>0</v>
      </c>
      <c r="I6" s="24">
        <v>1</v>
      </c>
      <c r="J6" s="25">
        <v>0.5</v>
      </c>
      <c r="K6" s="25">
        <v>1</v>
      </c>
      <c r="L6" s="30">
        <v>2.5</v>
      </c>
    </row>
    <row r="7" ht="30" customHeight="1" spans="2:12">
      <c r="B7" s="26" t="s">
        <v>260</v>
      </c>
      <c r="C7" s="8"/>
      <c r="D7" s="9" t="s">
        <v>261</v>
      </c>
      <c r="E7" s="4" t="s">
        <v>257</v>
      </c>
      <c r="F7" s="10">
        <v>1</v>
      </c>
      <c r="G7" s="25">
        <v>0</v>
      </c>
      <c r="H7" s="24">
        <v>0</v>
      </c>
      <c r="I7" s="24">
        <v>0</v>
      </c>
      <c r="J7" s="24">
        <v>1</v>
      </c>
      <c r="K7" s="25">
        <v>0.5</v>
      </c>
      <c r="L7" s="30">
        <v>1.5</v>
      </c>
    </row>
    <row r="8" ht="26.25" customHeight="1" spans="2:12">
      <c r="B8" s="9" t="s">
        <v>262</v>
      </c>
      <c r="C8" s="8"/>
      <c r="D8" s="9" t="s">
        <v>261</v>
      </c>
      <c r="E8" s="4" t="s">
        <v>257</v>
      </c>
      <c r="F8" s="10">
        <v>1.5</v>
      </c>
      <c r="G8" s="25">
        <v>0</v>
      </c>
      <c r="H8" s="25">
        <v>0</v>
      </c>
      <c r="I8" s="25">
        <v>0</v>
      </c>
      <c r="J8" s="25">
        <v>0.5</v>
      </c>
      <c r="K8" s="24">
        <v>0.5</v>
      </c>
      <c r="L8" s="30">
        <v>1</v>
      </c>
    </row>
    <row r="9" ht="29.25" customHeight="1" spans="2:2">
      <c r="B9" s="12"/>
    </row>
    <row r="10" ht="23.25" customHeight="1" spans="2:13">
      <c r="B10" s="4" t="s">
        <v>263</v>
      </c>
      <c r="C10" s="5">
        <v>1.5</v>
      </c>
      <c r="D10" s="6"/>
      <c r="E10" s="4"/>
      <c r="F10" s="27">
        <v>9</v>
      </c>
      <c r="G10" s="6"/>
      <c r="H10" s="6"/>
      <c r="I10" s="6"/>
      <c r="J10" s="6"/>
      <c r="K10" s="6"/>
      <c r="L10" s="6"/>
      <c r="M10" s="12"/>
    </row>
    <row r="11" ht="24" customHeight="1" spans="2:12">
      <c r="B11" s="7" t="s">
        <v>255</v>
      </c>
      <c r="C11" s="8"/>
      <c r="D11" s="9" t="s">
        <v>264</v>
      </c>
      <c r="E11" s="4" t="s">
        <v>257</v>
      </c>
      <c r="F11" s="10">
        <v>2.5</v>
      </c>
      <c r="G11" s="28">
        <v>1</v>
      </c>
      <c r="H11" s="29">
        <v>1.5</v>
      </c>
      <c r="I11" s="29">
        <v>0</v>
      </c>
      <c r="J11" s="29">
        <v>0</v>
      </c>
      <c r="K11" s="29">
        <v>0</v>
      </c>
      <c r="L11" s="31">
        <v>2.5</v>
      </c>
    </row>
    <row r="12" ht="21.75" customHeight="1" spans="2:12">
      <c r="B12" s="7" t="s">
        <v>258</v>
      </c>
      <c r="C12" s="8"/>
      <c r="D12" s="9" t="s">
        <v>264</v>
      </c>
      <c r="E12" s="4" t="s">
        <v>257</v>
      </c>
      <c r="F12" s="10">
        <v>2</v>
      </c>
      <c r="G12" s="29">
        <v>0</v>
      </c>
      <c r="H12" s="28">
        <v>1</v>
      </c>
      <c r="I12" s="29">
        <v>1</v>
      </c>
      <c r="J12" s="29">
        <v>0</v>
      </c>
      <c r="K12" s="29">
        <v>0</v>
      </c>
      <c r="L12" s="31">
        <v>2</v>
      </c>
    </row>
    <row r="13" ht="23.25" customHeight="1" spans="2:12">
      <c r="B13" s="7" t="s">
        <v>259</v>
      </c>
      <c r="C13" s="8"/>
      <c r="D13" s="9" t="s">
        <v>264</v>
      </c>
      <c r="E13" s="4" t="s">
        <v>257</v>
      </c>
      <c r="F13" s="10">
        <v>2</v>
      </c>
      <c r="G13" s="29">
        <v>0</v>
      </c>
      <c r="H13" s="29">
        <v>1</v>
      </c>
      <c r="I13" s="28">
        <v>1</v>
      </c>
      <c r="J13" s="29">
        <v>0.5</v>
      </c>
      <c r="K13" s="29">
        <v>0</v>
      </c>
      <c r="L13" s="31">
        <v>2.5</v>
      </c>
    </row>
    <row r="14" ht="27" customHeight="1" spans="2:12">
      <c r="B14" s="11" t="s">
        <v>265</v>
      </c>
      <c r="C14" s="8"/>
      <c r="D14" s="9" t="s">
        <v>266</v>
      </c>
      <c r="E14" s="4" t="s">
        <v>257</v>
      </c>
      <c r="F14" s="10">
        <v>1.5</v>
      </c>
      <c r="G14" s="29">
        <v>0</v>
      </c>
      <c r="H14" s="29">
        <v>0</v>
      </c>
      <c r="I14" s="29">
        <v>0</v>
      </c>
      <c r="J14" s="28">
        <v>1</v>
      </c>
      <c r="K14" s="29">
        <v>0</v>
      </c>
      <c r="L14" s="31">
        <v>1</v>
      </c>
    </row>
    <row r="15" ht="24.75" customHeight="1" spans="2:12">
      <c r="B15" s="7" t="s">
        <v>262</v>
      </c>
      <c r="C15" s="8"/>
      <c r="D15" s="9" t="s">
        <v>266</v>
      </c>
      <c r="E15" s="4" t="s">
        <v>257</v>
      </c>
      <c r="F15" s="10">
        <v>0.5</v>
      </c>
      <c r="G15" s="29">
        <v>0</v>
      </c>
      <c r="H15" s="29">
        <v>0</v>
      </c>
      <c r="I15" s="29">
        <v>0</v>
      </c>
      <c r="J15" s="29">
        <v>0</v>
      </c>
      <c r="K15" s="28">
        <v>1</v>
      </c>
      <c r="L15" s="31">
        <v>1</v>
      </c>
    </row>
    <row r="16" ht="24.75" customHeight="1" spans="2:2">
      <c r="B16" s="12"/>
    </row>
    <row r="17" ht="24.75" customHeight="1" spans="2:12">
      <c r="B17" s="4" t="s">
        <v>267</v>
      </c>
      <c r="C17" s="5">
        <v>2</v>
      </c>
      <c r="D17" s="6"/>
      <c r="E17" s="4"/>
      <c r="F17" s="27">
        <v>12</v>
      </c>
      <c r="G17" s="6"/>
      <c r="H17" s="6"/>
      <c r="I17" s="6"/>
      <c r="J17" s="6"/>
      <c r="K17" s="6"/>
      <c r="L17" s="6"/>
    </row>
    <row r="18" ht="24.75" customHeight="1" spans="2:12">
      <c r="B18" s="7" t="s">
        <v>255</v>
      </c>
      <c r="C18" s="8"/>
      <c r="D18" s="9" t="s">
        <v>268</v>
      </c>
      <c r="E18" s="4" t="s">
        <v>257</v>
      </c>
      <c r="F18" s="10">
        <v>1</v>
      </c>
      <c r="G18" s="24">
        <v>1</v>
      </c>
      <c r="H18" s="25">
        <v>0.5</v>
      </c>
      <c r="I18" s="25">
        <v>0</v>
      </c>
      <c r="J18" s="25">
        <v>0</v>
      </c>
      <c r="K18" s="25">
        <v>0</v>
      </c>
      <c r="L18" s="31">
        <v>1.5</v>
      </c>
    </row>
    <row r="19" ht="24.75" customHeight="1" spans="2:12">
      <c r="B19" s="7" t="s">
        <v>258</v>
      </c>
      <c r="C19" s="8"/>
      <c r="D19" s="9" t="s">
        <v>268</v>
      </c>
      <c r="E19" s="4" t="s">
        <v>257</v>
      </c>
      <c r="F19" s="10">
        <v>4</v>
      </c>
      <c r="G19" s="24">
        <v>2</v>
      </c>
      <c r="H19" s="25">
        <v>1</v>
      </c>
      <c r="I19" s="25">
        <v>1</v>
      </c>
      <c r="J19" s="25">
        <v>0</v>
      </c>
      <c r="K19" s="25">
        <v>0</v>
      </c>
      <c r="L19" s="31">
        <v>4</v>
      </c>
    </row>
    <row r="20" ht="24.75" customHeight="1" spans="2:12">
      <c r="B20" s="7" t="s">
        <v>259</v>
      </c>
      <c r="C20" s="8"/>
      <c r="D20" s="9" t="s">
        <v>268</v>
      </c>
      <c r="E20" s="4" t="s">
        <v>257</v>
      </c>
      <c r="F20" s="10">
        <v>3</v>
      </c>
      <c r="G20" s="25">
        <v>0</v>
      </c>
      <c r="H20" s="25">
        <v>0</v>
      </c>
      <c r="I20" s="24">
        <v>0.5</v>
      </c>
      <c r="J20" s="25">
        <v>1</v>
      </c>
      <c r="K20" s="25">
        <v>1</v>
      </c>
      <c r="L20" s="31">
        <v>2.5</v>
      </c>
    </row>
    <row r="21" ht="24.75" customHeight="1" spans="2:12">
      <c r="B21" s="11" t="s">
        <v>265</v>
      </c>
      <c r="C21" s="8"/>
      <c r="D21" s="9" t="s">
        <v>269</v>
      </c>
      <c r="E21" s="4" t="s">
        <v>257</v>
      </c>
      <c r="F21" s="10">
        <v>2</v>
      </c>
      <c r="G21" s="25">
        <v>0</v>
      </c>
      <c r="H21" s="24"/>
      <c r="I21" s="24">
        <v>1</v>
      </c>
      <c r="J21" s="24">
        <v>1</v>
      </c>
      <c r="K21" s="25">
        <v>1</v>
      </c>
      <c r="L21" s="31">
        <v>3</v>
      </c>
    </row>
    <row r="22" ht="24.75" customHeight="1" spans="2:12">
      <c r="B22" s="7" t="s">
        <v>262</v>
      </c>
      <c r="C22" s="8"/>
      <c r="D22" s="9" t="s">
        <v>269</v>
      </c>
      <c r="E22" s="4" t="s">
        <v>257</v>
      </c>
      <c r="F22" s="10">
        <v>2</v>
      </c>
      <c r="G22" s="25">
        <v>0</v>
      </c>
      <c r="H22" s="25"/>
      <c r="I22" s="25">
        <v>0</v>
      </c>
      <c r="J22" s="25">
        <v>1</v>
      </c>
      <c r="K22" s="24">
        <v>1</v>
      </c>
      <c r="L22" s="31">
        <v>1</v>
      </c>
    </row>
    <row r="23" ht="24.75" customHeight="1" spans="2:2">
      <c r="B23" s="12"/>
    </row>
    <row r="24" ht="27" customHeight="1" spans="2:12">
      <c r="B24" s="4" t="s">
        <v>270</v>
      </c>
      <c r="C24" s="5">
        <v>1</v>
      </c>
      <c r="D24" s="6"/>
      <c r="E24" s="4"/>
      <c r="F24" s="27">
        <v>6</v>
      </c>
      <c r="G24" s="6"/>
      <c r="H24" s="6"/>
      <c r="I24" s="6"/>
      <c r="J24" s="6"/>
      <c r="K24" s="6"/>
      <c r="L24" s="6"/>
    </row>
    <row r="25" ht="21" customHeight="1" spans="2:12">
      <c r="B25" s="7" t="s">
        <v>255</v>
      </c>
      <c r="C25" s="8"/>
      <c r="D25" s="9" t="s">
        <v>271</v>
      </c>
      <c r="E25" s="4" t="s">
        <v>257</v>
      </c>
      <c r="F25" s="10">
        <v>1</v>
      </c>
      <c r="G25" s="24">
        <v>1</v>
      </c>
      <c r="H25" s="25">
        <v>0</v>
      </c>
      <c r="I25" s="25">
        <v>0</v>
      </c>
      <c r="J25" s="25">
        <v>0</v>
      </c>
      <c r="K25" s="25">
        <v>0</v>
      </c>
      <c r="L25" s="31">
        <v>1</v>
      </c>
    </row>
    <row r="26" ht="21" customHeight="1" spans="2:12">
      <c r="B26" s="7" t="s">
        <v>258</v>
      </c>
      <c r="C26" s="8"/>
      <c r="D26" s="9" t="s">
        <v>271</v>
      </c>
      <c r="E26" s="4" t="s">
        <v>257</v>
      </c>
      <c r="F26" s="10">
        <v>2</v>
      </c>
      <c r="G26" s="24">
        <v>0</v>
      </c>
      <c r="H26" s="25">
        <v>0.5</v>
      </c>
      <c r="I26" s="25">
        <v>1</v>
      </c>
      <c r="J26" s="25">
        <v>0.5</v>
      </c>
      <c r="K26" s="25">
        <v>0</v>
      </c>
      <c r="L26" s="31">
        <v>2</v>
      </c>
    </row>
    <row r="27" ht="24.75" customHeight="1" spans="2:12">
      <c r="B27" s="7" t="s">
        <v>259</v>
      </c>
      <c r="C27" s="8"/>
      <c r="D27" s="9" t="s">
        <v>271</v>
      </c>
      <c r="E27" s="4" t="s">
        <v>257</v>
      </c>
      <c r="F27" s="10">
        <v>1</v>
      </c>
      <c r="G27" s="25">
        <v>0</v>
      </c>
      <c r="H27" s="25">
        <v>1</v>
      </c>
      <c r="I27" s="24">
        <v>0.5</v>
      </c>
      <c r="J27" s="25">
        <v>0</v>
      </c>
      <c r="K27" s="25">
        <v>0</v>
      </c>
      <c r="L27" s="31">
        <v>1.5</v>
      </c>
    </row>
    <row r="28" ht="27.75" customHeight="1" spans="2:12">
      <c r="B28" s="11" t="s">
        <v>265</v>
      </c>
      <c r="C28" s="8"/>
      <c r="D28" s="9" t="s">
        <v>272</v>
      </c>
      <c r="E28" s="4" t="s">
        <v>257</v>
      </c>
      <c r="F28" s="10">
        <v>1</v>
      </c>
      <c r="G28" s="25">
        <v>0</v>
      </c>
      <c r="H28" s="24">
        <v>0</v>
      </c>
      <c r="I28" s="24">
        <v>0</v>
      </c>
      <c r="J28" s="24">
        <v>0.5</v>
      </c>
      <c r="K28" s="25">
        <v>0</v>
      </c>
      <c r="L28" s="31">
        <v>0.5</v>
      </c>
    </row>
    <row r="29" ht="21.75" customHeight="1" spans="2:12">
      <c r="B29" s="7" t="s">
        <v>262</v>
      </c>
      <c r="C29" s="8"/>
      <c r="D29" s="9" t="s">
        <v>272</v>
      </c>
      <c r="E29" s="4" t="s">
        <v>257</v>
      </c>
      <c r="F29" s="10">
        <v>1</v>
      </c>
      <c r="G29" s="25">
        <v>0</v>
      </c>
      <c r="H29" s="25">
        <v>0</v>
      </c>
      <c r="I29" s="25">
        <v>0</v>
      </c>
      <c r="J29" s="25">
        <v>0.5</v>
      </c>
      <c r="K29" s="24">
        <v>0</v>
      </c>
      <c r="L29" s="31">
        <v>0.5</v>
      </c>
    </row>
    <row r="30" ht="21.75" customHeight="1" spans="2:2">
      <c r="B30" s="12"/>
    </row>
    <row r="31" ht="30.75" customHeight="1" spans="2:12">
      <c r="B31" s="15" t="s">
        <v>273</v>
      </c>
      <c r="C31" s="16"/>
      <c r="D31" s="16"/>
      <c r="E31" s="16"/>
      <c r="F31" s="17">
        <v>36</v>
      </c>
      <c r="G31" s="17">
        <v>5.5</v>
      </c>
      <c r="H31" s="17">
        <v>6</v>
      </c>
      <c r="I31" s="17">
        <v>8.5</v>
      </c>
      <c r="J31" s="17">
        <v>9</v>
      </c>
      <c r="K31" s="17">
        <v>6</v>
      </c>
      <c r="L31" s="17">
        <v>36.5</v>
      </c>
    </row>
    <row r="32" ht="22.5" customHeight="1" spans="2:12">
      <c r="B32" s="19" t="s">
        <v>274</v>
      </c>
      <c r="C32" s="19"/>
      <c r="D32" s="19"/>
      <c r="E32" s="19"/>
      <c r="F32" s="23">
        <v>36</v>
      </c>
      <c r="G32" s="23">
        <f>(5.5-(36/5))</f>
        <v>-1.7</v>
      </c>
      <c r="H32" s="23">
        <f>(6-(36/5))</f>
        <v>-1.2</v>
      </c>
      <c r="I32" s="23">
        <f>(8.5-(36/5))</f>
        <v>1.3</v>
      </c>
      <c r="J32" s="23">
        <f>(9-(36/5))</f>
        <v>1.8</v>
      </c>
      <c r="K32" s="23">
        <f>(6-(36/5))</f>
        <v>-1.2</v>
      </c>
      <c r="L32" s="23">
        <v>36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Z1"/>
    <mergeCell ref="B9:Z9"/>
    <mergeCell ref="B16:L16"/>
    <mergeCell ref="B23:L23"/>
    <mergeCell ref="B30:L30"/>
    <mergeCell ref="A1:A206"/>
    <mergeCell ref="M2:Z8"/>
    <mergeCell ref="M10:Z40"/>
  </mergeCells>
  <pageMargins left="0.7" right="0.7" top="0.75" bottom="0.75" header="0" footer="0"/>
  <pageSetup paperSize="1" orientation="landscape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:A198"/>
    </sheetView>
  </sheetViews>
  <sheetFormatPr defaultColWidth="12.6333333333333" defaultRowHeight="15" customHeight="1"/>
  <cols>
    <col min="1" max="1" width="3.13333333333333" customWidth="1"/>
    <col min="2" max="2" width="47.6333333333333" customWidth="1"/>
    <col min="3" max="3" width="12.6333333333333" customWidth="1"/>
    <col min="4" max="4" width="28.3833333333333" customWidth="1"/>
    <col min="5" max="5" width="16.3833333333333" customWidth="1"/>
    <col min="6" max="6" width="17.5" customWidth="1"/>
    <col min="7" max="7" width="8.25" customWidth="1"/>
    <col min="8" max="9" width="7.63333333333333" customWidth="1"/>
    <col min="10" max="10" width="8.25" customWidth="1"/>
    <col min="11" max="11" width="7.63333333333333" customWidth="1"/>
    <col min="12" max="12" width="15" customWidth="1"/>
    <col min="13" max="26" width="7.63333333333333" customWidth="1"/>
  </cols>
  <sheetData>
    <row r="1" ht="36.75" customHeight="1" spans="1:2">
      <c r="A1" s="1"/>
      <c r="B1" s="1" t="s">
        <v>275</v>
      </c>
    </row>
    <row r="2" ht="33.75" customHeight="1" spans="2:13">
      <c r="B2" s="2" t="s">
        <v>245</v>
      </c>
      <c r="C2" s="3" t="s">
        <v>210</v>
      </c>
      <c r="D2" s="2" t="s">
        <v>246</v>
      </c>
      <c r="E2" s="2" t="s">
        <v>211</v>
      </c>
      <c r="F2" s="3" t="s">
        <v>247</v>
      </c>
      <c r="G2" s="2" t="s">
        <v>248</v>
      </c>
      <c r="H2" s="2" t="s">
        <v>249</v>
      </c>
      <c r="I2" s="2" t="s">
        <v>250</v>
      </c>
      <c r="J2" s="2" t="s">
        <v>251</v>
      </c>
      <c r="K2" s="2" t="s">
        <v>252</v>
      </c>
      <c r="L2" s="3" t="s">
        <v>253</v>
      </c>
      <c r="M2" s="12"/>
    </row>
    <row r="3" ht="24.75" customHeight="1" spans="2:12">
      <c r="B3" s="4" t="s">
        <v>276</v>
      </c>
      <c r="C3" s="5">
        <v>1.5</v>
      </c>
      <c r="D3" s="6"/>
      <c r="E3" s="4"/>
      <c r="F3" s="4">
        <v>9</v>
      </c>
      <c r="G3" s="6"/>
      <c r="H3" s="6"/>
      <c r="I3" s="6"/>
      <c r="J3" s="6"/>
      <c r="K3" s="6"/>
      <c r="L3" s="6"/>
    </row>
    <row r="4" ht="20.25" customHeight="1" spans="2:12">
      <c r="B4" s="7" t="s">
        <v>255</v>
      </c>
      <c r="C4" s="8"/>
      <c r="D4" s="9" t="s">
        <v>264</v>
      </c>
      <c r="E4" s="9" t="s">
        <v>257</v>
      </c>
      <c r="F4" s="8">
        <v>1.5</v>
      </c>
      <c r="G4" s="6"/>
      <c r="H4" s="6">
        <v>0.5</v>
      </c>
      <c r="I4" s="6">
        <v>1</v>
      </c>
      <c r="J4" s="6">
        <v>0</v>
      </c>
      <c r="K4" s="6">
        <v>0</v>
      </c>
      <c r="L4" s="22">
        <v>2</v>
      </c>
    </row>
    <row r="5" ht="21.75" customHeight="1" spans="2:12">
      <c r="B5" s="7" t="s">
        <v>258</v>
      </c>
      <c r="C5" s="8"/>
      <c r="D5" s="9" t="s">
        <v>264</v>
      </c>
      <c r="E5" s="9" t="s">
        <v>257</v>
      </c>
      <c r="F5" s="8">
        <v>2.5</v>
      </c>
      <c r="G5" s="8">
        <v>0</v>
      </c>
      <c r="H5" s="8">
        <v>1</v>
      </c>
      <c r="I5" s="8">
        <v>1</v>
      </c>
      <c r="J5" s="8">
        <v>0</v>
      </c>
      <c r="K5" s="8">
        <v>0</v>
      </c>
      <c r="L5" s="22">
        <v>2</v>
      </c>
    </row>
    <row r="6" ht="20.25" customHeight="1" spans="2:12">
      <c r="B6" s="7" t="s">
        <v>259</v>
      </c>
      <c r="C6" s="8"/>
      <c r="D6" s="9" t="s">
        <v>264</v>
      </c>
      <c r="E6" s="9" t="s">
        <v>257</v>
      </c>
      <c r="F6" s="8">
        <v>1.5</v>
      </c>
      <c r="G6" s="8">
        <v>0</v>
      </c>
      <c r="H6" s="8">
        <v>0</v>
      </c>
      <c r="I6" s="8">
        <v>1</v>
      </c>
      <c r="J6" s="8">
        <v>1</v>
      </c>
      <c r="K6" s="8">
        <v>0.5</v>
      </c>
      <c r="L6" s="22">
        <v>2.5</v>
      </c>
    </row>
    <row r="7" ht="30" customHeight="1" spans="2:12">
      <c r="B7" s="11" t="s">
        <v>265</v>
      </c>
      <c r="C7" s="8"/>
      <c r="D7" s="9" t="s">
        <v>266</v>
      </c>
      <c r="E7" s="9" t="s">
        <v>257</v>
      </c>
      <c r="F7" s="8">
        <v>1.5</v>
      </c>
      <c r="G7" s="8">
        <v>0</v>
      </c>
      <c r="H7" s="8">
        <v>0</v>
      </c>
      <c r="I7" s="8">
        <v>0</v>
      </c>
      <c r="J7" s="8">
        <v>0</v>
      </c>
      <c r="K7" s="8">
        <v>0.5</v>
      </c>
      <c r="L7" s="22">
        <v>0.5</v>
      </c>
    </row>
    <row r="8" ht="26.25" customHeight="1" spans="2:12">
      <c r="B8" s="7" t="s">
        <v>262</v>
      </c>
      <c r="C8" s="8"/>
      <c r="D8" s="9" t="s">
        <v>266</v>
      </c>
      <c r="E8" s="9" t="s">
        <v>257</v>
      </c>
      <c r="F8" s="8">
        <v>2</v>
      </c>
      <c r="G8" s="8">
        <v>0</v>
      </c>
      <c r="H8" s="8">
        <v>0</v>
      </c>
      <c r="I8" s="8">
        <v>0</v>
      </c>
      <c r="J8" s="8">
        <v>1</v>
      </c>
      <c r="K8" s="8">
        <v>0.5</v>
      </c>
      <c r="L8" s="22">
        <v>1.5</v>
      </c>
    </row>
    <row r="9" ht="29.25" customHeight="1" spans="2:2">
      <c r="B9" s="12"/>
    </row>
    <row r="10" ht="23.25" customHeight="1" spans="2:13">
      <c r="B10" s="4" t="s">
        <v>277</v>
      </c>
      <c r="C10" s="5">
        <v>1.5</v>
      </c>
      <c r="D10" s="6"/>
      <c r="E10" s="4"/>
      <c r="F10" s="13">
        <v>9</v>
      </c>
      <c r="G10" s="6"/>
      <c r="H10" s="6"/>
      <c r="I10" s="6"/>
      <c r="J10" s="6"/>
      <c r="K10" s="6"/>
      <c r="L10" s="6"/>
      <c r="M10" s="12"/>
    </row>
    <row r="11" ht="24" customHeight="1" spans="2:12">
      <c r="B11" s="7" t="s">
        <v>255</v>
      </c>
      <c r="D11" s="9" t="s">
        <v>268</v>
      </c>
      <c r="E11" s="9" t="s">
        <v>257</v>
      </c>
      <c r="F11" s="14">
        <v>1</v>
      </c>
      <c r="G11" s="8">
        <v>1</v>
      </c>
      <c r="H11" s="8">
        <v>0</v>
      </c>
      <c r="I11" s="8">
        <v>0</v>
      </c>
      <c r="J11" s="8">
        <v>0</v>
      </c>
      <c r="K11" s="8">
        <v>0</v>
      </c>
      <c r="L11" s="22">
        <v>1</v>
      </c>
    </row>
    <row r="12" ht="21.75" customHeight="1" spans="2:12">
      <c r="B12" s="7" t="s">
        <v>258</v>
      </c>
      <c r="D12" s="9" t="s">
        <v>268</v>
      </c>
      <c r="E12" s="9" t="s">
        <v>257</v>
      </c>
      <c r="F12" s="14">
        <v>3</v>
      </c>
      <c r="G12" s="8">
        <v>1</v>
      </c>
      <c r="H12" s="8">
        <v>1</v>
      </c>
      <c r="I12" s="8">
        <v>1</v>
      </c>
      <c r="J12" s="8">
        <v>1</v>
      </c>
      <c r="K12" s="8">
        <v>0</v>
      </c>
      <c r="L12" s="22">
        <v>4</v>
      </c>
    </row>
    <row r="13" ht="23.25" customHeight="1" spans="2:12">
      <c r="B13" s="7" t="s">
        <v>259</v>
      </c>
      <c r="D13" s="9" t="s">
        <v>268</v>
      </c>
      <c r="E13" s="9" t="s">
        <v>257</v>
      </c>
      <c r="F13" s="14">
        <v>2</v>
      </c>
      <c r="G13" s="8">
        <v>0</v>
      </c>
      <c r="H13" s="8">
        <v>0.5</v>
      </c>
      <c r="I13" s="8">
        <v>1</v>
      </c>
      <c r="J13" s="8">
        <v>0.5</v>
      </c>
      <c r="K13" s="8">
        <v>0.5</v>
      </c>
      <c r="L13" s="22">
        <v>2.5</v>
      </c>
    </row>
    <row r="14" ht="27" customHeight="1" spans="2:12">
      <c r="B14" s="11" t="s">
        <v>265</v>
      </c>
      <c r="D14" s="9" t="s">
        <v>269</v>
      </c>
      <c r="E14" s="9" t="s">
        <v>257</v>
      </c>
      <c r="F14" s="14">
        <v>1</v>
      </c>
      <c r="G14" s="8">
        <v>0</v>
      </c>
      <c r="H14" s="8">
        <v>0</v>
      </c>
      <c r="I14" s="8">
        <v>0</v>
      </c>
      <c r="J14" s="8">
        <v>0.5</v>
      </c>
      <c r="K14" s="8">
        <v>0.5</v>
      </c>
      <c r="L14" s="22">
        <v>1</v>
      </c>
    </row>
    <row r="15" ht="24.75" customHeight="1" spans="2:12">
      <c r="B15" s="7" t="s">
        <v>262</v>
      </c>
      <c r="D15" s="9" t="s">
        <v>269</v>
      </c>
      <c r="E15" s="9" t="s">
        <v>257</v>
      </c>
      <c r="F15" s="14">
        <v>1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  <c r="L15" s="22">
        <v>1</v>
      </c>
    </row>
    <row r="16" ht="18.75" customHeight="1" spans="2:2">
      <c r="B16" s="12"/>
    </row>
    <row r="17" ht="27" customHeight="1" spans="2:12">
      <c r="B17" s="4" t="s">
        <v>278</v>
      </c>
      <c r="C17" s="5">
        <v>1</v>
      </c>
      <c r="D17" s="6"/>
      <c r="E17" s="4"/>
      <c r="F17" s="13">
        <v>6</v>
      </c>
      <c r="G17" s="6"/>
      <c r="H17" s="6"/>
      <c r="I17" s="6"/>
      <c r="J17" s="6"/>
      <c r="K17" s="6"/>
      <c r="L17" s="6"/>
    </row>
    <row r="18" ht="21" customHeight="1" spans="2:12">
      <c r="B18" s="7" t="s">
        <v>255</v>
      </c>
      <c r="D18" s="9" t="s">
        <v>271</v>
      </c>
      <c r="E18" s="9" t="s">
        <v>257</v>
      </c>
      <c r="F18" s="10">
        <v>1</v>
      </c>
      <c r="G18" s="8">
        <v>0.5</v>
      </c>
      <c r="H18" s="8">
        <v>0.5</v>
      </c>
      <c r="I18" s="8">
        <v>0</v>
      </c>
      <c r="J18" s="8">
        <v>0</v>
      </c>
      <c r="K18" s="8">
        <v>0</v>
      </c>
      <c r="L18" s="22">
        <v>1</v>
      </c>
    </row>
    <row r="19" ht="21" customHeight="1" spans="2:12">
      <c r="B19" s="7" t="s">
        <v>258</v>
      </c>
      <c r="D19" s="9" t="s">
        <v>271</v>
      </c>
      <c r="E19" s="9" t="s">
        <v>257</v>
      </c>
      <c r="F19" s="10">
        <v>2</v>
      </c>
      <c r="G19" s="8">
        <v>0</v>
      </c>
      <c r="H19" s="8">
        <v>0.5</v>
      </c>
      <c r="I19" s="8">
        <v>0.5</v>
      </c>
      <c r="J19" s="8">
        <v>1</v>
      </c>
      <c r="K19" s="8">
        <v>0</v>
      </c>
      <c r="L19" s="22">
        <v>2</v>
      </c>
    </row>
    <row r="20" ht="24.75" customHeight="1" spans="2:12">
      <c r="B20" s="7" t="s">
        <v>259</v>
      </c>
      <c r="D20" s="9" t="s">
        <v>271</v>
      </c>
      <c r="E20" s="9" t="s">
        <v>257</v>
      </c>
      <c r="F20" s="10">
        <v>2</v>
      </c>
      <c r="G20" s="8">
        <v>0</v>
      </c>
      <c r="H20" s="8">
        <v>0</v>
      </c>
      <c r="I20" s="8">
        <v>0</v>
      </c>
      <c r="J20" s="8">
        <v>0.5</v>
      </c>
      <c r="K20" s="8">
        <v>0.5</v>
      </c>
      <c r="L20" s="22">
        <v>1</v>
      </c>
    </row>
    <row r="21" ht="27.75" customHeight="1" spans="2:12">
      <c r="B21" s="11" t="s">
        <v>265</v>
      </c>
      <c r="D21" s="9" t="s">
        <v>272</v>
      </c>
      <c r="E21" s="9" t="s">
        <v>257</v>
      </c>
      <c r="F21" s="10">
        <v>0.5</v>
      </c>
      <c r="G21" s="8">
        <v>0</v>
      </c>
      <c r="H21" s="8">
        <v>0</v>
      </c>
      <c r="I21" s="8">
        <v>0</v>
      </c>
      <c r="J21" s="8">
        <v>0.5</v>
      </c>
      <c r="K21" s="8">
        <v>0</v>
      </c>
      <c r="L21" s="22">
        <v>0.5</v>
      </c>
    </row>
    <row r="22" ht="21.75" customHeight="1" spans="2:12">
      <c r="B22" s="7" t="s">
        <v>262</v>
      </c>
      <c r="D22" s="9" t="s">
        <v>272</v>
      </c>
      <c r="E22" s="9" t="s">
        <v>257</v>
      </c>
      <c r="F22" s="10">
        <v>0.5</v>
      </c>
      <c r="G22" s="8">
        <v>0</v>
      </c>
      <c r="H22" s="8">
        <v>0</v>
      </c>
      <c r="I22" s="8">
        <v>0</v>
      </c>
      <c r="J22" s="8">
        <v>0</v>
      </c>
      <c r="K22" s="8">
        <v>0.5</v>
      </c>
      <c r="L22" s="22">
        <v>0.5</v>
      </c>
    </row>
    <row r="23" ht="18.75" customHeight="1" spans="2:2">
      <c r="B23" s="12"/>
    </row>
    <row r="24" ht="22.5" customHeight="1" spans="2:12">
      <c r="B24" s="4" t="s">
        <v>279</v>
      </c>
      <c r="C24" s="5">
        <v>1.5</v>
      </c>
      <c r="D24" s="6"/>
      <c r="E24" s="4" t="s">
        <v>215</v>
      </c>
      <c r="F24" s="13">
        <v>9</v>
      </c>
      <c r="G24" s="6"/>
      <c r="H24" s="6"/>
      <c r="I24" s="6"/>
      <c r="J24" s="6"/>
      <c r="K24" s="6"/>
      <c r="L24" s="6"/>
    </row>
    <row r="25" ht="24" customHeight="1" spans="2:12">
      <c r="B25" s="7" t="s">
        <v>255</v>
      </c>
      <c r="D25" s="9" t="s">
        <v>256</v>
      </c>
      <c r="E25" s="9" t="s">
        <v>257</v>
      </c>
      <c r="F25" s="10">
        <v>1</v>
      </c>
      <c r="G25" s="8">
        <v>0.5</v>
      </c>
      <c r="H25" s="8">
        <v>0.5</v>
      </c>
      <c r="I25" s="8">
        <v>0</v>
      </c>
      <c r="J25" s="8">
        <v>0</v>
      </c>
      <c r="K25" s="8">
        <v>0</v>
      </c>
      <c r="L25" s="22">
        <v>1</v>
      </c>
    </row>
    <row r="26" ht="25.5" customHeight="1" spans="2:12">
      <c r="B26" s="7" t="s">
        <v>258</v>
      </c>
      <c r="D26" s="9" t="s">
        <v>256</v>
      </c>
      <c r="E26" s="9" t="s">
        <v>257</v>
      </c>
      <c r="F26" s="10">
        <v>4</v>
      </c>
      <c r="G26" s="8">
        <v>1.5</v>
      </c>
      <c r="H26" s="8">
        <v>1</v>
      </c>
      <c r="I26" s="8">
        <v>2</v>
      </c>
      <c r="J26" s="8">
        <v>0</v>
      </c>
      <c r="K26" s="8">
        <v>0</v>
      </c>
      <c r="L26" s="22">
        <v>4.5</v>
      </c>
    </row>
    <row r="27" ht="27" customHeight="1" spans="2:12">
      <c r="B27" s="7" t="s">
        <v>259</v>
      </c>
      <c r="D27" s="9" t="s">
        <v>256</v>
      </c>
      <c r="E27" s="9" t="s">
        <v>257</v>
      </c>
      <c r="F27" s="10">
        <v>2</v>
      </c>
      <c r="G27" s="8">
        <v>0</v>
      </c>
      <c r="H27" s="8">
        <v>0</v>
      </c>
      <c r="I27" s="8">
        <v>1</v>
      </c>
      <c r="J27" s="8">
        <v>1</v>
      </c>
      <c r="K27" s="8">
        <v>0</v>
      </c>
      <c r="L27" s="22">
        <v>2</v>
      </c>
    </row>
    <row r="28" ht="36" customHeight="1" spans="2:12">
      <c r="B28" s="11" t="s">
        <v>265</v>
      </c>
      <c r="D28" s="9" t="s">
        <v>256</v>
      </c>
      <c r="E28" s="9" t="s">
        <v>257</v>
      </c>
      <c r="F28" s="10">
        <v>1</v>
      </c>
      <c r="G28" s="8">
        <v>0</v>
      </c>
      <c r="H28" s="8">
        <v>0</v>
      </c>
      <c r="I28" s="8">
        <v>0</v>
      </c>
      <c r="J28" s="8">
        <v>0.5</v>
      </c>
      <c r="K28" s="8">
        <v>0.5</v>
      </c>
      <c r="L28" s="22">
        <v>1</v>
      </c>
    </row>
    <row r="29" ht="28.5" customHeight="1" spans="2:12">
      <c r="B29" s="7" t="s">
        <v>262</v>
      </c>
      <c r="D29" s="9" t="s">
        <v>261</v>
      </c>
      <c r="E29" s="9" t="s">
        <v>257</v>
      </c>
      <c r="F29" s="10">
        <v>1</v>
      </c>
      <c r="G29" s="8">
        <v>0</v>
      </c>
      <c r="H29" s="8">
        <v>0</v>
      </c>
      <c r="I29" s="8">
        <v>0</v>
      </c>
      <c r="J29" s="8">
        <v>0</v>
      </c>
      <c r="K29" s="8">
        <v>0.5</v>
      </c>
      <c r="L29" s="22">
        <v>1</v>
      </c>
    </row>
    <row r="30" ht="20.25" customHeight="1" spans="2:2">
      <c r="B30" s="12"/>
    </row>
    <row r="31" ht="27.75" customHeight="1" spans="2:12">
      <c r="B31" s="15" t="s">
        <v>273</v>
      </c>
      <c r="C31" s="16"/>
      <c r="D31" s="16"/>
      <c r="E31" s="16"/>
      <c r="F31" s="17">
        <v>33</v>
      </c>
      <c r="G31" s="17">
        <v>5</v>
      </c>
      <c r="H31" s="17">
        <v>5.5</v>
      </c>
      <c r="I31" s="17">
        <v>8.5</v>
      </c>
      <c r="J31" s="17">
        <v>7.5</v>
      </c>
      <c r="K31" s="17">
        <v>5.5</v>
      </c>
      <c r="L31" s="17">
        <v>32.5</v>
      </c>
    </row>
    <row r="32" ht="22.5" customHeight="1" spans="2:12">
      <c r="B32" s="19" t="s">
        <v>274</v>
      </c>
      <c r="C32" s="19"/>
      <c r="D32" s="19"/>
      <c r="E32" s="19"/>
      <c r="F32" s="23"/>
      <c r="G32" s="23">
        <f>(5-(33/5))</f>
        <v>-1.6</v>
      </c>
      <c r="H32" s="23">
        <f>(5.5-33/5)</f>
        <v>-1.1</v>
      </c>
      <c r="I32" s="23">
        <f>(8.5-33/5)</f>
        <v>1.9</v>
      </c>
      <c r="J32" s="23">
        <f>(7.5-33/5)</f>
        <v>0.9</v>
      </c>
      <c r="K32" s="23">
        <v>-1.1</v>
      </c>
      <c r="L32" s="2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Z1"/>
    <mergeCell ref="B9:Z9"/>
    <mergeCell ref="B16:L16"/>
    <mergeCell ref="B23:L23"/>
    <mergeCell ref="B30:L30"/>
    <mergeCell ref="A1:A198"/>
    <mergeCell ref="M2:Z8"/>
    <mergeCell ref="M10:Z32"/>
  </mergeCells>
  <pageMargins left="0.7" right="0.7" top="0.75" bottom="0.75" header="0" footer="0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topLeftCell="A32" workbookViewId="0">
      <selection activeCell="A1" sqref="A1:A203"/>
    </sheetView>
  </sheetViews>
  <sheetFormatPr defaultColWidth="12.6333333333333" defaultRowHeight="15" customHeight="1"/>
  <cols>
    <col min="1" max="1" width="3.13333333333333" customWidth="1"/>
    <col min="2" max="2" width="45" customWidth="1"/>
    <col min="3" max="3" width="12.6333333333333" customWidth="1"/>
    <col min="4" max="4" width="28.3833333333333" customWidth="1"/>
    <col min="5" max="5" width="16.3833333333333" customWidth="1"/>
    <col min="6" max="6" width="17.5" customWidth="1"/>
    <col min="7" max="7" width="8.25" customWidth="1"/>
    <col min="8" max="11" width="7.63333333333333" customWidth="1"/>
    <col min="12" max="12" width="15" customWidth="1"/>
    <col min="13" max="26" width="7.63333333333333" customWidth="1"/>
  </cols>
  <sheetData>
    <row r="1" ht="36.75" customHeight="1" spans="1:2">
      <c r="A1" s="1"/>
      <c r="B1" s="1" t="s">
        <v>280</v>
      </c>
    </row>
    <row r="2" ht="33.75" customHeight="1" spans="2:13">
      <c r="B2" s="2" t="s">
        <v>245</v>
      </c>
      <c r="C2" s="3" t="s">
        <v>210</v>
      </c>
      <c r="D2" s="2" t="s">
        <v>246</v>
      </c>
      <c r="E2" s="2" t="s">
        <v>211</v>
      </c>
      <c r="F2" s="3" t="s">
        <v>247</v>
      </c>
      <c r="G2" s="2" t="s">
        <v>248</v>
      </c>
      <c r="H2" s="2" t="s">
        <v>249</v>
      </c>
      <c r="I2" s="2" t="s">
        <v>250</v>
      </c>
      <c r="J2" s="2" t="s">
        <v>251</v>
      </c>
      <c r="K2" s="2" t="s">
        <v>252</v>
      </c>
      <c r="L2" s="3" t="s">
        <v>253</v>
      </c>
      <c r="M2" s="12"/>
    </row>
    <row r="3" ht="24.75" customHeight="1" spans="2:12">
      <c r="B3" s="4" t="s">
        <v>281</v>
      </c>
      <c r="C3" s="5">
        <v>2</v>
      </c>
      <c r="D3" s="6"/>
      <c r="E3" s="4"/>
      <c r="F3" s="4">
        <v>12</v>
      </c>
      <c r="G3" s="6"/>
      <c r="H3" s="6"/>
      <c r="I3" s="6"/>
      <c r="J3" s="6"/>
      <c r="K3" s="6"/>
      <c r="L3" s="6"/>
    </row>
    <row r="4" ht="20.25" customHeight="1" spans="2:12">
      <c r="B4" s="7" t="s">
        <v>255</v>
      </c>
      <c r="C4" s="8"/>
      <c r="D4" s="9" t="s">
        <v>271</v>
      </c>
      <c r="E4" s="21" t="s">
        <v>257</v>
      </c>
      <c r="F4" s="8">
        <v>1</v>
      </c>
      <c r="G4" s="8">
        <v>1</v>
      </c>
      <c r="H4" s="8">
        <v>1</v>
      </c>
      <c r="I4" s="8">
        <v>1</v>
      </c>
      <c r="J4" s="8">
        <v>0</v>
      </c>
      <c r="K4" s="8">
        <v>0</v>
      </c>
      <c r="L4" s="22">
        <v>3</v>
      </c>
    </row>
    <row r="5" ht="21.75" customHeight="1" spans="2:12">
      <c r="B5" s="7" t="s">
        <v>258</v>
      </c>
      <c r="C5" s="8"/>
      <c r="D5" s="9" t="s">
        <v>264</v>
      </c>
      <c r="E5" s="21" t="s">
        <v>257</v>
      </c>
      <c r="F5" s="8">
        <v>4</v>
      </c>
      <c r="G5" s="8">
        <v>1</v>
      </c>
      <c r="H5" s="8">
        <v>1</v>
      </c>
      <c r="I5" s="8">
        <v>1</v>
      </c>
      <c r="J5" s="8">
        <v>1</v>
      </c>
      <c r="K5" s="8">
        <v>0</v>
      </c>
      <c r="L5" s="22">
        <v>4</v>
      </c>
    </row>
    <row r="6" ht="20.25" customHeight="1" spans="2:12">
      <c r="B6" s="7" t="s">
        <v>259</v>
      </c>
      <c r="C6" s="8"/>
      <c r="D6" s="9" t="s">
        <v>271</v>
      </c>
      <c r="E6" s="21" t="s">
        <v>257</v>
      </c>
      <c r="F6" s="8">
        <v>4</v>
      </c>
      <c r="G6" s="8">
        <v>0</v>
      </c>
      <c r="H6" s="8">
        <v>0</v>
      </c>
      <c r="I6" s="8">
        <v>1</v>
      </c>
      <c r="J6" s="8">
        <v>1</v>
      </c>
      <c r="K6" s="8">
        <v>2</v>
      </c>
      <c r="L6" s="22">
        <v>4</v>
      </c>
    </row>
    <row r="7" ht="30" customHeight="1" spans="2:12">
      <c r="B7" s="11" t="s">
        <v>265</v>
      </c>
      <c r="C7" s="8"/>
      <c r="D7" s="9" t="s">
        <v>264</v>
      </c>
      <c r="E7" s="21" t="s">
        <v>257</v>
      </c>
      <c r="F7" s="8">
        <v>1.5</v>
      </c>
      <c r="G7" s="8">
        <v>0</v>
      </c>
      <c r="H7" s="8">
        <v>0</v>
      </c>
      <c r="I7" s="8">
        <v>0.5</v>
      </c>
      <c r="J7" s="8">
        <v>0</v>
      </c>
      <c r="K7" s="8">
        <v>1</v>
      </c>
      <c r="L7" s="22">
        <v>1.5</v>
      </c>
    </row>
    <row r="8" ht="26.25" customHeight="1" spans="2:12">
      <c r="B8" s="7" t="s">
        <v>262</v>
      </c>
      <c r="C8" s="8"/>
      <c r="D8" s="9" t="s">
        <v>282</v>
      </c>
      <c r="E8" s="21" t="s">
        <v>257</v>
      </c>
      <c r="F8" s="8">
        <v>1</v>
      </c>
      <c r="G8" s="8">
        <v>0</v>
      </c>
      <c r="H8" s="8">
        <v>0</v>
      </c>
      <c r="I8" s="8">
        <v>0</v>
      </c>
      <c r="J8" s="8">
        <v>0</v>
      </c>
      <c r="K8" s="8">
        <v>1</v>
      </c>
      <c r="L8" s="22">
        <v>1</v>
      </c>
    </row>
    <row r="9" ht="29.25" customHeight="1" spans="2:2">
      <c r="B9" s="12"/>
    </row>
    <row r="10" ht="23.25" customHeight="1" spans="2:13">
      <c r="B10" s="4" t="s">
        <v>283</v>
      </c>
      <c r="C10" s="5">
        <v>2</v>
      </c>
      <c r="D10" s="6"/>
      <c r="E10" s="4"/>
      <c r="F10" s="13">
        <v>12</v>
      </c>
      <c r="G10" s="6"/>
      <c r="H10" s="6"/>
      <c r="I10" s="6"/>
      <c r="J10" s="6"/>
      <c r="K10" s="6"/>
      <c r="L10" s="6"/>
      <c r="M10" s="12"/>
    </row>
    <row r="11" ht="24" customHeight="1" spans="2:12">
      <c r="B11" s="7" t="s">
        <v>255</v>
      </c>
      <c r="C11" s="8"/>
      <c r="D11" s="9" t="s">
        <v>284</v>
      </c>
      <c r="E11" s="21" t="s">
        <v>257</v>
      </c>
      <c r="F11" s="12">
        <v>1</v>
      </c>
      <c r="G11" s="8">
        <v>0.5</v>
      </c>
      <c r="H11" s="8">
        <v>0.5</v>
      </c>
      <c r="I11" s="8">
        <v>0</v>
      </c>
      <c r="J11" s="8">
        <v>0</v>
      </c>
      <c r="K11" s="8">
        <v>0</v>
      </c>
      <c r="L11" s="22">
        <v>1</v>
      </c>
    </row>
    <row r="12" ht="21.75" customHeight="1" spans="2:12">
      <c r="B12" s="7" t="s">
        <v>258</v>
      </c>
      <c r="C12" s="8"/>
      <c r="D12" s="9" t="s">
        <v>256</v>
      </c>
      <c r="E12" s="21" t="s">
        <v>257</v>
      </c>
      <c r="F12" s="12">
        <v>5</v>
      </c>
      <c r="G12" s="8">
        <v>1</v>
      </c>
      <c r="H12" s="8">
        <v>2</v>
      </c>
      <c r="I12" s="8">
        <v>2</v>
      </c>
      <c r="J12" s="8">
        <v>0</v>
      </c>
      <c r="K12" s="8">
        <v>0</v>
      </c>
      <c r="L12" s="22">
        <v>5</v>
      </c>
    </row>
    <row r="13" ht="23.25" customHeight="1" spans="2:12">
      <c r="B13" s="7" t="s">
        <v>259</v>
      </c>
      <c r="C13" s="8"/>
      <c r="D13" s="9" t="s">
        <v>256</v>
      </c>
      <c r="E13" s="21" t="s">
        <v>257</v>
      </c>
      <c r="F13" s="14">
        <v>4</v>
      </c>
      <c r="G13" s="8">
        <v>0</v>
      </c>
      <c r="H13" s="8">
        <v>1</v>
      </c>
      <c r="I13" s="8">
        <v>1</v>
      </c>
      <c r="J13" s="8">
        <v>2</v>
      </c>
      <c r="K13" s="8">
        <v>0</v>
      </c>
      <c r="L13" s="22">
        <v>4</v>
      </c>
    </row>
    <row r="14" ht="27" customHeight="1" spans="2:12">
      <c r="B14" s="11" t="s">
        <v>265</v>
      </c>
      <c r="C14" s="8"/>
      <c r="D14" s="9" t="s">
        <v>256</v>
      </c>
      <c r="E14" s="21" t="s">
        <v>257</v>
      </c>
      <c r="F14" s="12">
        <v>1</v>
      </c>
      <c r="G14" s="8">
        <v>0</v>
      </c>
      <c r="H14" s="8">
        <v>0</v>
      </c>
      <c r="I14" s="8">
        <v>0.5</v>
      </c>
      <c r="J14" s="8">
        <v>0</v>
      </c>
      <c r="K14" s="8">
        <v>0.5</v>
      </c>
      <c r="L14" s="22">
        <v>1</v>
      </c>
    </row>
    <row r="15" ht="24.75" customHeight="1" spans="2:12">
      <c r="B15" s="7" t="s">
        <v>262</v>
      </c>
      <c r="C15" s="8"/>
      <c r="D15" s="9" t="s">
        <v>261</v>
      </c>
      <c r="E15" s="21" t="s">
        <v>257</v>
      </c>
      <c r="F15" s="14">
        <v>1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  <c r="L15" s="22">
        <v>1</v>
      </c>
    </row>
    <row r="16" ht="24.75" customHeight="1" spans="2:2">
      <c r="B16" s="12"/>
    </row>
    <row r="17" ht="24.75" customHeight="1" spans="2:12">
      <c r="B17" s="4" t="s">
        <v>285</v>
      </c>
      <c r="C17" s="5">
        <v>1.5</v>
      </c>
      <c r="D17" s="6"/>
      <c r="E17" s="4"/>
      <c r="F17" s="13">
        <v>9</v>
      </c>
      <c r="G17" s="6"/>
      <c r="H17" s="6"/>
      <c r="I17" s="6"/>
      <c r="J17" s="6"/>
      <c r="K17" s="6"/>
      <c r="L17" s="6"/>
    </row>
    <row r="18" ht="24.75" customHeight="1" spans="2:12">
      <c r="B18" s="7" t="s">
        <v>255</v>
      </c>
      <c r="C18" s="8"/>
      <c r="D18" s="9" t="s">
        <v>268</v>
      </c>
      <c r="E18" s="21" t="s">
        <v>257</v>
      </c>
      <c r="F18" s="10">
        <v>1</v>
      </c>
      <c r="G18" s="8">
        <v>1</v>
      </c>
      <c r="H18" s="8">
        <v>0</v>
      </c>
      <c r="I18" s="8">
        <v>0</v>
      </c>
      <c r="J18" s="8">
        <v>0</v>
      </c>
      <c r="K18" s="8">
        <v>0</v>
      </c>
      <c r="L18" s="22">
        <v>1</v>
      </c>
    </row>
    <row r="19" ht="24.75" customHeight="1" spans="2:12">
      <c r="B19" s="7" t="s">
        <v>258</v>
      </c>
      <c r="C19" s="8"/>
      <c r="D19" s="9" t="s">
        <v>268</v>
      </c>
      <c r="E19" s="21" t="s">
        <v>257</v>
      </c>
      <c r="F19" s="10">
        <v>3</v>
      </c>
      <c r="G19" s="8">
        <v>1</v>
      </c>
      <c r="H19" s="8">
        <v>2</v>
      </c>
      <c r="I19" s="8">
        <v>0</v>
      </c>
      <c r="J19" s="8">
        <v>0</v>
      </c>
      <c r="K19" s="8">
        <v>0</v>
      </c>
      <c r="L19" s="22">
        <v>3</v>
      </c>
    </row>
    <row r="20" ht="24.75" customHeight="1" spans="2:12">
      <c r="B20" s="7" t="s">
        <v>259</v>
      </c>
      <c r="C20" s="8"/>
      <c r="D20" s="9" t="s">
        <v>268</v>
      </c>
      <c r="E20" s="21" t="s">
        <v>257</v>
      </c>
      <c r="F20" s="8">
        <v>3</v>
      </c>
      <c r="G20" s="8">
        <v>0</v>
      </c>
      <c r="H20" s="8">
        <v>1</v>
      </c>
      <c r="I20" s="8">
        <v>1</v>
      </c>
      <c r="J20" s="8">
        <v>1</v>
      </c>
      <c r="K20" s="8">
        <v>0</v>
      </c>
      <c r="L20" s="22">
        <v>3</v>
      </c>
    </row>
    <row r="21" ht="24.75" customHeight="1" spans="2:12">
      <c r="B21" s="11" t="s">
        <v>265</v>
      </c>
      <c r="C21" s="8"/>
      <c r="D21" s="9" t="s">
        <v>268</v>
      </c>
      <c r="E21" s="21" t="s">
        <v>257</v>
      </c>
      <c r="F21" s="10">
        <v>1</v>
      </c>
      <c r="G21" s="8">
        <v>0</v>
      </c>
      <c r="H21" s="8">
        <v>0</v>
      </c>
      <c r="I21" s="8">
        <v>0</v>
      </c>
      <c r="J21" s="8">
        <v>0.5</v>
      </c>
      <c r="K21" s="8">
        <v>0.5</v>
      </c>
      <c r="L21" s="22">
        <v>1</v>
      </c>
    </row>
    <row r="22" ht="24.75" customHeight="1" spans="2:12">
      <c r="B22" s="7" t="s">
        <v>262</v>
      </c>
      <c r="C22" s="8"/>
      <c r="D22" s="9" t="s">
        <v>268</v>
      </c>
      <c r="E22" s="21" t="s">
        <v>257</v>
      </c>
      <c r="F22" s="8">
        <v>1</v>
      </c>
      <c r="G22" s="8">
        <v>0</v>
      </c>
      <c r="H22" s="8">
        <v>0</v>
      </c>
      <c r="I22" s="8">
        <v>0</v>
      </c>
      <c r="J22" s="8">
        <v>0</v>
      </c>
      <c r="K22" s="8">
        <v>1</v>
      </c>
      <c r="L22" s="22">
        <v>1</v>
      </c>
    </row>
    <row r="23" ht="24.75" customHeight="1" spans="2:2">
      <c r="B23" s="12"/>
    </row>
    <row r="24" ht="27" customHeight="1" spans="2:12">
      <c r="B24" s="15" t="s">
        <v>273</v>
      </c>
      <c r="C24" s="16"/>
      <c r="D24" s="16"/>
      <c r="E24" s="16"/>
      <c r="F24" s="18">
        <v>33</v>
      </c>
      <c r="G24" s="18">
        <v>5.5</v>
      </c>
      <c r="H24" s="18">
        <v>8.5</v>
      </c>
      <c r="I24" s="18">
        <v>8</v>
      </c>
      <c r="J24" s="18">
        <v>5.5</v>
      </c>
      <c r="K24" s="18">
        <v>5.5</v>
      </c>
      <c r="L24" s="18">
        <v>34.5</v>
      </c>
    </row>
    <row r="25" ht="21" customHeight="1" spans="2:12">
      <c r="B25" s="19" t="s">
        <v>274</v>
      </c>
      <c r="C25" s="19"/>
      <c r="D25" s="19"/>
      <c r="E25" s="19"/>
      <c r="F25" s="19"/>
      <c r="G25" s="19">
        <f>(5.5-33/5)</f>
        <v>-1.1</v>
      </c>
      <c r="H25" s="19">
        <f>(8.5-33/5)</f>
        <v>1.9</v>
      </c>
      <c r="I25" s="19">
        <f>(8-33/5)</f>
        <v>1.4</v>
      </c>
      <c r="J25" s="19">
        <f t="shared" ref="J25:K25" si="0">(5.5-33/5)</f>
        <v>-1.1</v>
      </c>
      <c r="K25" s="19">
        <f t="shared" si="0"/>
        <v>-1.1</v>
      </c>
      <c r="L25" s="19"/>
    </row>
    <row r="26" ht="21" customHeight="1" spans="2:12">
      <c r="B26" s="7"/>
      <c r="C26" s="7"/>
      <c r="D26" s="7"/>
      <c r="E26" s="7"/>
      <c r="F26" s="7"/>
      <c r="G26" s="8"/>
      <c r="H26" s="8"/>
      <c r="I26" s="8"/>
      <c r="J26" s="8"/>
      <c r="K26" s="8"/>
      <c r="L26" s="7"/>
    </row>
    <row r="27" ht="24.75" customHeight="1" spans="2:12">
      <c r="B27" s="7"/>
      <c r="C27" s="7"/>
      <c r="D27" s="7"/>
      <c r="E27" s="7"/>
      <c r="F27" s="7"/>
      <c r="G27" s="8"/>
      <c r="H27" s="8"/>
      <c r="I27" s="8"/>
      <c r="J27" s="8"/>
      <c r="K27" s="8"/>
      <c r="L27" s="7"/>
    </row>
    <row r="28" ht="27.75" customHeight="1" spans="2:12">
      <c r="B28" s="7"/>
      <c r="C28" s="7"/>
      <c r="D28" s="7"/>
      <c r="E28" s="7"/>
      <c r="F28" s="7"/>
      <c r="G28" s="8"/>
      <c r="H28" s="8"/>
      <c r="I28" s="8"/>
      <c r="J28" s="8"/>
      <c r="K28" s="8"/>
      <c r="L28" s="7"/>
    </row>
    <row r="29" ht="21.75" customHeight="1" spans="2:12">
      <c r="B29" s="7"/>
      <c r="C29" s="7"/>
      <c r="D29" s="7"/>
      <c r="E29" s="7"/>
      <c r="F29" s="7"/>
      <c r="G29" s="8"/>
      <c r="H29" s="8"/>
      <c r="I29" s="8"/>
      <c r="J29" s="8"/>
      <c r="K29" s="8"/>
      <c r="L29" s="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Z1"/>
    <mergeCell ref="B9:Z9"/>
    <mergeCell ref="B16:L16"/>
    <mergeCell ref="B23:L23"/>
    <mergeCell ref="A1:A203"/>
    <mergeCell ref="M2:Z8"/>
    <mergeCell ref="M10:Z37"/>
  </mergeCells>
  <pageMargins left="0.7" right="0.7" top="0.75" bottom="0.75" header="0" footer="0"/>
  <pageSetup paperSize="1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:A199"/>
    </sheetView>
  </sheetViews>
  <sheetFormatPr defaultColWidth="12.6333333333333" defaultRowHeight="15" customHeight="1"/>
  <cols>
    <col min="1" max="1" width="3.13333333333333" customWidth="1"/>
    <col min="2" max="2" width="36" customWidth="1"/>
    <col min="3" max="3" width="12.6333333333333" customWidth="1"/>
    <col min="4" max="4" width="28.3833333333333" customWidth="1"/>
    <col min="5" max="5" width="16.3833333333333" customWidth="1"/>
    <col min="6" max="6" width="17.5" customWidth="1"/>
    <col min="7" max="7" width="8.25" customWidth="1"/>
    <col min="8" max="11" width="7.63333333333333" customWidth="1"/>
    <col min="12" max="12" width="24.1333333333333" customWidth="1"/>
    <col min="13" max="26" width="7.63333333333333" customWidth="1"/>
  </cols>
  <sheetData>
    <row r="1" ht="36.75" customHeight="1" spans="1:2">
      <c r="A1" s="1"/>
      <c r="B1" s="1" t="s">
        <v>286</v>
      </c>
    </row>
    <row r="2" ht="33.75" customHeight="1" spans="2:13">
      <c r="B2" s="2" t="s">
        <v>245</v>
      </c>
      <c r="C2" s="3" t="s">
        <v>210</v>
      </c>
      <c r="D2" s="2" t="s">
        <v>246</v>
      </c>
      <c r="E2" s="2" t="s">
        <v>211</v>
      </c>
      <c r="F2" s="3" t="s">
        <v>247</v>
      </c>
      <c r="G2" s="2" t="s">
        <v>248</v>
      </c>
      <c r="H2" s="2" t="s">
        <v>249</v>
      </c>
      <c r="I2" s="2" t="s">
        <v>250</v>
      </c>
      <c r="J2" s="2" t="s">
        <v>251</v>
      </c>
      <c r="K2" s="2" t="s">
        <v>252</v>
      </c>
      <c r="L2" s="3" t="s">
        <v>253</v>
      </c>
      <c r="M2" s="12"/>
    </row>
    <row r="3" ht="24.75" customHeight="1" spans="2:12">
      <c r="B3" s="4" t="s">
        <v>287</v>
      </c>
      <c r="C3" s="5">
        <v>1.5</v>
      </c>
      <c r="D3" s="6"/>
      <c r="E3" s="4"/>
      <c r="F3" s="4">
        <v>9</v>
      </c>
      <c r="G3" s="6"/>
      <c r="H3" s="6"/>
      <c r="I3" s="6"/>
      <c r="J3" s="6"/>
      <c r="K3" s="6"/>
      <c r="L3" s="6"/>
    </row>
    <row r="4" ht="20.25" customHeight="1" spans="2:12">
      <c r="B4" s="7" t="s">
        <v>255</v>
      </c>
      <c r="C4" s="8"/>
      <c r="D4" s="9" t="s">
        <v>288</v>
      </c>
      <c r="E4" s="9" t="s">
        <v>257</v>
      </c>
      <c r="F4" s="10">
        <v>2</v>
      </c>
      <c r="G4" s="8">
        <v>2</v>
      </c>
      <c r="H4" s="8">
        <v>0</v>
      </c>
      <c r="I4" s="8">
        <v>0</v>
      </c>
      <c r="J4" s="8">
        <v>0</v>
      </c>
      <c r="K4" s="8">
        <v>0</v>
      </c>
      <c r="L4" s="20">
        <v>2</v>
      </c>
    </row>
    <row r="5" ht="21.75" customHeight="1" spans="2:12">
      <c r="B5" s="7" t="s">
        <v>258</v>
      </c>
      <c r="C5" s="8"/>
      <c r="D5" s="9" t="s">
        <v>268</v>
      </c>
      <c r="E5" s="9" t="s">
        <v>257</v>
      </c>
      <c r="F5" s="10">
        <v>3</v>
      </c>
      <c r="G5" s="8">
        <v>1</v>
      </c>
      <c r="H5" s="8">
        <v>1</v>
      </c>
      <c r="I5" s="8">
        <v>1</v>
      </c>
      <c r="J5" s="8">
        <v>0</v>
      </c>
      <c r="K5" s="8">
        <v>0</v>
      </c>
      <c r="L5" s="20">
        <v>3</v>
      </c>
    </row>
    <row r="6" ht="20.25" customHeight="1" spans="2:12">
      <c r="B6" s="7" t="s">
        <v>259</v>
      </c>
      <c r="C6" s="8"/>
      <c r="D6" s="9" t="s">
        <v>268</v>
      </c>
      <c r="E6" s="9" t="s">
        <v>257</v>
      </c>
      <c r="F6" s="10">
        <v>2.5</v>
      </c>
      <c r="G6" s="8">
        <v>0</v>
      </c>
      <c r="H6" s="8">
        <v>1</v>
      </c>
      <c r="I6" s="8">
        <v>0</v>
      </c>
      <c r="J6" s="8">
        <v>1</v>
      </c>
      <c r="K6" s="8">
        <v>1</v>
      </c>
      <c r="L6" s="20">
        <v>3</v>
      </c>
    </row>
    <row r="7" ht="30" customHeight="1" spans="2:12">
      <c r="B7" s="11" t="s">
        <v>265</v>
      </c>
      <c r="C7" s="8"/>
      <c r="D7" s="9" t="s">
        <v>288</v>
      </c>
      <c r="E7" s="9" t="s">
        <v>257</v>
      </c>
      <c r="F7" s="10">
        <v>1</v>
      </c>
      <c r="G7" s="8">
        <v>0</v>
      </c>
      <c r="H7" s="8">
        <v>0</v>
      </c>
      <c r="I7" s="8">
        <v>0</v>
      </c>
      <c r="J7" s="8">
        <v>1</v>
      </c>
      <c r="K7" s="8">
        <v>0</v>
      </c>
      <c r="L7" s="20">
        <v>1</v>
      </c>
    </row>
    <row r="8" ht="26.25" customHeight="1" spans="2:12">
      <c r="B8" s="7" t="s">
        <v>262</v>
      </c>
      <c r="C8" s="8"/>
      <c r="D8" s="9" t="s">
        <v>268</v>
      </c>
      <c r="E8" s="9" t="s">
        <v>257</v>
      </c>
      <c r="F8" s="8">
        <v>0.5</v>
      </c>
      <c r="G8" s="8">
        <v>0</v>
      </c>
      <c r="H8" s="8">
        <v>0</v>
      </c>
      <c r="I8" s="8">
        <v>0</v>
      </c>
      <c r="J8" s="8">
        <v>0</v>
      </c>
      <c r="K8" s="8">
        <v>0.5</v>
      </c>
      <c r="L8" s="20">
        <v>0.5</v>
      </c>
    </row>
    <row r="9" ht="29.25" customHeight="1" spans="2:2">
      <c r="B9" s="12"/>
    </row>
    <row r="10" ht="23.25" customHeight="1" spans="2:13">
      <c r="B10" s="4" t="s">
        <v>289</v>
      </c>
      <c r="C10" s="5">
        <v>1</v>
      </c>
      <c r="D10" s="6"/>
      <c r="E10" s="4"/>
      <c r="F10" s="13">
        <v>6</v>
      </c>
      <c r="G10" s="6"/>
      <c r="H10" s="6"/>
      <c r="I10" s="6"/>
      <c r="J10" s="6"/>
      <c r="K10" s="6"/>
      <c r="L10" s="6"/>
      <c r="M10" s="12"/>
    </row>
    <row r="11" ht="24" customHeight="1" spans="2:12">
      <c r="B11" s="7" t="s">
        <v>255</v>
      </c>
      <c r="D11" s="9" t="s">
        <v>271</v>
      </c>
      <c r="E11" s="9" t="s">
        <v>257</v>
      </c>
      <c r="F11" s="12">
        <v>1</v>
      </c>
      <c r="G11" s="8">
        <v>1</v>
      </c>
      <c r="H11" s="8">
        <v>0</v>
      </c>
      <c r="I11" s="8">
        <v>0</v>
      </c>
      <c r="J11" s="8">
        <v>0</v>
      </c>
      <c r="K11" s="8">
        <v>0</v>
      </c>
      <c r="L11" s="20">
        <v>1</v>
      </c>
    </row>
    <row r="12" ht="21.75" customHeight="1" spans="2:12">
      <c r="B12" s="7" t="s">
        <v>258</v>
      </c>
      <c r="D12" s="9" t="s">
        <v>256</v>
      </c>
      <c r="E12" s="9" t="s">
        <v>257</v>
      </c>
      <c r="F12" s="12">
        <v>2</v>
      </c>
      <c r="G12" s="8">
        <v>0</v>
      </c>
      <c r="H12" s="8">
        <v>1</v>
      </c>
      <c r="I12" s="8">
        <v>1</v>
      </c>
      <c r="J12" s="8">
        <v>0</v>
      </c>
      <c r="K12" s="8">
        <v>0</v>
      </c>
      <c r="L12" s="20">
        <v>2</v>
      </c>
    </row>
    <row r="13" ht="23.25" customHeight="1" spans="2:12">
      <c r="B13" s="7" t="s">
        <v>259</v>
      </c>
      <c r="D13" s="9" t="s">
        <v>256</v>
      </c>
      <c r="E13" s="9" t="s">
        <v>257</v>
      </c>
      <c r="F13" s="14">
        <v>2</v>
      </c>
      <c r="G13" s="8">
        <v>0</v>
      </c>
      <c r="H13" s="8">
        <v>1</v>
      </c>
      <c r="I13" s="8">
        <v>1</v>
      </c>
      <c r="J13" s="8">
        <v>0.5</v>
      </c>
      <c r="K13" s="8">
        <v>0</v>
      </c>
      <c r="L13" s="20">
        <v>2.5</v>
      </c>
    </row>
    <row r="14" ht="27" customHeight="1" spans="2:12">
      <c r="B14" s="11" t="s">
        <v>265</v>
      </c>
      <c r="D14" s="9" t="s">
        <v>271</v>
      </c>
      <c r="E14" s="9" t="s">
        <v>257</v>
      </c>
      <c r="F14" s="14">
        <v>0.5</v>
      </c>
      <c r="G14" s="8">
        <v>0</v>
      </c>
      <c r="H14" s="8">
        <v>0</v>
      </c>
      <c r="I14" s="8">
        <v>0</v>
      </c>
      <c r="J14" s="8">
        <v>0</v>
      </c>
      <c r="K14" s="8">
        <v>1</v>
      </c>
      <c r="L14" s="20">
        <v>1</v>
      </c>
    </row>
    <row r="15" ht="24.75" customHeight="1" spans="2:12">
      <c r="B15" s="7" t="s">
        <v>262</v>
      </c>
      <c r="D15" s="9" t="s">
        <v>271</v>
      </c>
      <c r="E15" s="9" t="s">
        <v>257</v>
      </c>
      <c r="F15" s="14">
        <v>0.5</v>
      </c>
      <c r="G15" s="8">
        <v>0</v>
      </c>
      <c r="H15" s="8">
        <v>0</v>
      </c>
      <c r="I15" s="8">
        <v>0</v>
      </c>
      <c r="J15" s="8">
        <v>0</v>
      </c>
      <c r="K15" s="8">
        <v>0.5</v>
      </c>
      <c r="L15" s="20">
        <v>0.5</v>
      </c>
    </row>
    <row r="16" ht="24.75" customHeight="1" spans="2:2">
      <c r="B16" s="12"/>
    </row>
    <row r="17" ht="24.75" customHeight="1" spans="2:12">
      <c r="B17" s="4" t="s">
        <v>290</v>
      </c>
      <c r="C17" s="5">
        <v>2</v>
      </c>
      <c r="D17" s="6"/>
      <c r="E17" s="4"/>
      <c r="F17" s="13">
        <v>12</v>
      </c>
      <c r="G17" s="6"/>
      <c r="H17" s="6"/>
      <c r="I17" s="6"/>
      <c r="J17" s="6"/>
      <c r="K17" s="6"/>
      <c r="L17" s="6"/>
    </row>
    <row r="18" ht="24.75" customHeight="1" spans="2:12">
      <c r="B18" s="7" t="s">
        <v>255</v>
      </c>
      <c r="D18" s="9" t="s">
        <v>256</v>
      </c>
      <c r="E18" s="9" t="s">
        <v>257</v>
      </c>
      <c r="F18" s="10">
        <v>3</v>
      </c>
      <c r="G18" s="8">
        <v>2</v>
      </c>
      <c r="H18" s="8">
        <v>1</v>
      </c>
      <c r="I18" s="8">
        <v>0</v>
      </c>
      <c r="J18" s="8">
        <v>0</v>
      </c>
      <c r="K18" s="8">
        <v>0</v>
      </c>
      <c r="L18" s="20">
        <v>3</v>
      </c>
    </row>
    <row r="19" ht="24.75" customHeight="1" spans="2:12">
      <c r="B19" s="7" t="s">
        <v>258</v>
      </c>
      <c r="D19" s="9" t="s">
        <v>268</v>
      </c>
      <c r="E19" s="9" t="s">
        <v>257</v>
      </c>
      <c r="F19" s="10">
        <v>4</v>
      </c>
      <c r="G19" s="8">
        <v>0</v>
      </c>
      <c r="H19" s="8">
        <v>1</v>
      </c>
      <c r="I19" s="8">
        <v>3</v>
      </c>
      <c r="J19" s="8">
        <v>0</v>
      </c>
      <c r="K19" s="8">
        <v>0</v>
      </c>
      <c r="L19" s="20">
        <v>4</v>
      </c>
    </row>
    <row r="20" ht="24.75" customHeight="1" spans="2:12">
      <c r="B20" s="7" t="s">
        <v>259</v>
      </c>
      <c r="D20" s="9" t="s">
        <v>268</v>
      </c>
      <c r="E20" s="9" t="s">
        <v>257</v>
      </c>
      <c r="F20" s="8">
        <v>2</v>
      </c>
      <c r="G20" s="8">
        <v>0</v>
      </c>
      <c r="H20" s="8">
        <v>1</v>
      </c>
      <c r="I20" s="8">
        <v>1</v>
      </c>
      <c r="J20" s="8">
        <v>0</v>
      </c>
      <c r="K20" s="8">
        <v>0.5</v>
      </c>
      <c r="L20" s="20">
        <v>2.5</v>
      </c>
    </row>
    <row r="21" ht="24.75" customHeight="1" spans="2:12">
      <c r="B21" s="11" t="s">
        <v>265</v>
      </c>
      <c r="D21" s="9" t="s">
        <v>271</v>
      </c>
      <c r="E21" s="9" t="s">
        <v>257</v>
      </c>
      <c r="F21" s="10">
        <v>2</v>
      </c>
      <c r="G21" s="8">
        <v>0</v>
      </c>
      <c r="H21" s="8">
        <v>0</v>
      </c>
      <c r="I21" s="8">
        <v>0</v>
      </c>
      <c r="J21" s="8">
        <v>2</v>
      </c>
      <c r="K21" s="8">
        <v>0</v>
      </c>
      <c r="L21" s="20">
        <v>2</v>
      </c>
    </row>
    <row r="22" ht="24.75" customHeight="1" spans="2:12">
      <c r="B22" s="7" t="s">
        <v>262</v>
      </c>
      <c r="D22" s="9" t="s">
        <v>264</v>
      </c>
      <c r="E22" s="9" t="s">
        <v>257</v>
      </c>
      <c r="F22" s="8">
        <v>1</v>
      </c>
      <c r="G22" s="8">
        <v>0</v>
      </c>
      <c r="H22" s="8">
        <v>0</v>
      </c>
      <c r="I22" s="8">
        <v>0</v>
      </c>
      <c r="J22" s="8">
        <v>0</v>
      </c>
      <c r="K22" s="8">
        <v>0.5</v>
      </c>
      <c r="L22" s="20">
        <v>0.5</v>
      </c>
    </row>
    <row r="23" ht="24.75" customHeight="1" spans="2:2">
      <c r="B23" s="12"/>
    </row>
    <row r="24" ht="30.75" customHeight="1" spans="2:12">
      <c r="B24" s="15" t="s">
        <v>273</v>
      </c>
      <c r="C24" s="16"/>
      <c r="D24" s="16"/>
      <c r="E24" s="16"/>
      <c r="F24" s="17">
        <v>27</v>
      </c>
      <c r="G24" s="18">
        <v>6</v>
      </c>
      <c r="H24" s="18">
        <v>7</v>
      </c>
      <c r="I24" s="18">
        <v>7</v>
      </c>
      <c r="J24" s="18">
        <v>4.5</v>
      </c>
      <c r="K24" s="18">
        <v>4</v>
      </c>
      <c r="L24" s="18">
        <v>28.5</v>
      </c>
    </row>
    <row r="25" ht="22.5" customHeight="1" spans="2:12">
      <c r="B25" s="19" t="s">
        <v>274</v>
      </c>
      <c r="C25" s="19"/>
      <c r="D25" s="19"/>
      <c r="E25" s="19"/>
      <c r="F25" s="19"/>
      <c r="G25" s="19">
        <f>(6-27/5)</f>
        <v>0.6</v>
      </c>
      <c r="H25" s="19">
        <f t="shared" ref="H25:I25" si="0">(7-27/5)</f>
        <v>1.6</v>
      </c>
      <c r="I25" s="19">
        <f t="shared" si="0"/>
        <v>1.6</v>
      </c>
      <c r="J25" s="19">
        <f>(4.5-27/5)</f>
        <v>-0.9</v>
      </c>
      <c r="K25" s="19">
        <f>(4-27/5)</f>
        <v>-1.4</v>
      </c>
      <c r="L25" s="1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Z1"/>
    <mergeCell ref="B9:Z9"/>
    <mergeCell ref="B16:L16"/>
    <mergeCell ref="B23:L23"/>
    <mergeCell ref="A1:A199"/>
    <mergeCell ref="M2:Z8"/>
    <mergeCell ref="M10:Z33"/>
  </mergeCells>
  <pageMargins left="0.7" right="0.7" top="0.75" bottom="0.75" header="0" footer="0"/>
  <pageSetup paperSize="1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:A206"/>
    </sheetView>
  </sheetViews>
  <sheetFormatPr defaultColWidth="12.6333333333333" defaultRowHeight="15" customHeight="1"/>
  <cols>
    <col min="1" max="1" width="3.13333333333333" customWidth="1"/>
    <col min="2" max="6" width="12.6333333333333" customWidth="1"/>
  </cols>
  <sheetData>
    <row r="1" ht="36.75" customHeight="1" spans="1:1">
      <c r="A1" s="1"/>
    </row>
    <row r="2" ht="33.75" customHeight="1"/>
    <row r="3" ht="24.75" customHeight="1"/>
    <row r="4" ht="20.25" customHeight="1"/>
    <row r="5" ht="21.75" customHeight="1"/>
    <row r="6" ht="20.25" customHeight="1"/>
    <row r="7" ht="30" customHeight="1"/>
    <row r="8" ht="26.25" customHeight="1"/>
    <row r="9" ht="29.25" customHeight="1"/>
    <row r="10" ht="23.25" customHeight="1"/>
    <row r="11" ht="24" customHeight="1"/>
    <row r="12" ht="21.75" customHeight="1"/>
    <row r="13" ht="23.25" customHeight="1"/>
    <row r="14" ht="27" customHeight="1"/>
    <row r="15" ht="24.75" customHeight="1"/>
    <row r="16" ht="24.75" customHeight="1"/>
    <row r="17" ht="24.75" customHeight="1"/>
    <row r="18" ht="24.75" customHeight="1"/>
    <row r="19" ht="24.75" customHeight="1"/>
    <row r="20" ht="24.75" customHeight="1"/>
    <row r="21" ht="24.75" customHeight="1"/>
    <row r="22" ht="24.75" customHeight="1"/>
    <row r="23" ht="24.75" customHeight="1"/>
    <row r="24" ht="27" customHeight="1"/>
    <row r="25" ht="21" customHeight="1"/>
    <row r="26" ht="21" customHeight="1"/>
    <row r="27" ht="24.75" customHeight="1"/>
    <row r="28" ht="27.75" customHeight="1"/>
    <row r="29" ht="21.75" customHeight="1"/>
    <row r="30" ht="21.75" customHeight="1"/>
    <row r="31" ht="30.75" customHeight="1"/>
    <row r="32" ht="22.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06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Introduction</vt:lpstr>
      <vt:lpstr>User Story Without Priority</vt:lpstr>
      <vt:lpstr>Agile User Story</vt:lpstr>
      <vt:lpstr>User Story Priority Hierarchy</vt:lpstr>
      <vt:lpstr>User Story Map Board</vt:lpstr>
      <vt:lpstr>Agile Release Plan</vt:lpstr>
      <vt:lpstr>Agile Sprint 1 Backlog</vt:lpstr>
      <vt:lpstr>Agile Sprint 2 Backlog</vt:lpstr>
      <vt:lpstr>Agile Sprint 3 Backlog</vt:lpstr>
      <vt:lpstr>Agile Sprint 4 Backlog</vt:lpstr>
      <vt:lpstr>Agile Sprint 5 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Biraz sharma</dc:creator>
  <cp:lastModifiedBy>Samjhana Dahal</cp:lastModifiedBy>
  <dcterms:created xsi:type="dcterms:W3CDTF">2025-12-23T16:51:00Z</dcterms:created>
  <dcterms:modified xsi:type="dcterms:W3CDTF">2025-12-30T13:20:48Z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F12BAFB5F58147528A154C3EFC0A557F_13</vt:lpwstr>
  </property>
  <property fmtid="{D5CDD505-2E9C-101B-9397-08002B2CF9AE}" pid="3" name="KSOProductBuildVer">
    <vt:lpwstr>1033-12.2.0.23196</vt:lpwstr>
  </property>
</Properties>
</file>